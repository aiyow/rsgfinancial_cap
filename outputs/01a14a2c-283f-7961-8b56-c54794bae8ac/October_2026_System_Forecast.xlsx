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0b2877bc6c4e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tober Forecast" sheetId="1" r:id="Rea08eab9d73744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"/>
    <x:numFmt numFmtId="201" formatCode="&quot;PHP &quot;#,##0.00"/>
  </x:numFmts>
  <x:fonts count="7">
    <x:font>
      <x:sz val="11"/>
      <x:name val="Carlito"/>
    </x:font>
    <x:font>
      <x:sz val="10"/>
      <x:color rgb="FF183C30"/>
      <x:name val="Arial"/>
    </x:font>
    <x:font>
      <x:b/>
      <x:sz val="15"/>
      <x:color rgb="FF183C30"/>
      <x:name val="Arial"/>
    </x:font>
    <x:font>
      <x:i/>
      <x:sz val="10"/>
      <x:color rgb="FF5B756A"/>
      <x:name val="Arial"/>
    </x:font>
    <x:font>
      <x:sz val="10"/>
      <x:color rgb="FF5B756A"/>
      <x:name val="Arial"/>
    </x:font>
    <x:font>
      <x:b/>
      <x:sz val="10"/>
      <x:color rgb="FFFFFFFF"/>
      <x:name val="Arial"/>
    </x:font>
    <x:font>
      <x:b/>
      <x:sz val="10"/>
      <x:color rgb="FF183C3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5D47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A4C2B2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A4C2B2"/>
      </x:top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9A5D00"/>
      </x:font>
      <x:fill>
        <x:patternFill patternType="solid">
          <x:bgColor rgb="FFFFF5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6d7787a994f19" /><Relationship Type="http://schemas.openxmlformats.org/officeDocument/2006/relationships/theme" Target="/xl/theme/theme1.xml" Id="R1878c1d562374308" /><Relationship Type="http://schemas.openxmlformats.org/officeDocument/2006/relationships/sharedStrings" Target="/xl/sharedStrings.xml" Id="R07daf404564c4d53" /><Relationship Type="http://schemas.openxmlformats.org/officeDocument/2006/relationships/worksheet" Target="/xl/worksheets/sheet1.xml" Id="Rea08eab9d73744ba" /></Relationships>
</file>

<file path=xl/tables/table1.xml><?xml version="1.0" encoding="utf-8"?>
<x:table xmlns:x="http://schemas.openxmlformats.org/spreadsheetml/2006/main" id="1" name="OctoberSystemForecast" displayName="OctoberSystemForecast" ref="A6:H148" headerRowCount="1" totalsRowCount="0" totalsRowShown="0">
  <x:autoFilter ref="A6:H148"/>
  <x:tableColumns count="8">
    <x:tableColumn id="1" name="Unit"/>
    <x:tableColumn id="2" name="Previous (m³)"/>
    <x:tableColumn id="3" name="Predicted present (m³)"/>
    <x:tableColumn id="4" name="Predicted consumption (m³)"/>
    <x:tableColumn id="5" name="Estimated water charge (PHP)"/>
    <x:tableColumn id="6" name="Model"/>
    <x:tableColumn id="7" name="Forecast status"/>
    <x:tableColumn id="8" name="Reason when unavaila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8a95cc9d3d438e" /></Relationships>
</file>

<file path=xl/worksheets/sheet1.xml><?xml version="1.0" encoding="utf-8"?>
<x:worksheet xmlns:x="http://schemas.openxmlformats.org/spreadsheetml/2006/main">
  <x:sheetPr>
    <x:tabColor rgb="FF215D47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4" hidden="0" customWidth="1"/>
    <x:col min="4" max="4" width="24" hidden="0" customWidth="1"/>
    <x:col min="5" max="5" width="26" hidden="0" customWidth="1"/>
    <x:col min="6" max="6" width="24" hidden="0" customWidth="1"/>
    <x:col min="7" max="7" width="26" hidden="0" customWidth="1"/>
    <x:col min="8" max="8" width="64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4" t="str">
        <x:v>October 2026 system forecast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Source: The ResiDens saved October forecasts. Exported Oct 21, 2026, 11:06 PM (Manila).</x:v>
      </x:c>
      <x:c r="B3" s="5"/>
      <x:c r="C3" s="5"/>
      <x:c r="D3" s="5"/>
      <x:c r="E3" s="5"/>
      <x:c r="F3" s="5"/>
      <x:c r="G3" s="5"/>
      <x:c r="H3" s="5"/>
    </x:row>
    <x:row r="4" ht="24" customHeight="1">
      <x:c r="A4" s="5" t="str">
        <x:v>Previous = September meter reading. Predicted present = previous + predicted consumption. These are forecast readings.</x:v>
      </x:c>
      <x:c r="B4" s="5"/>
      <x:c r="C4" s="5"/>
      <x:c r="D4" s="5"/>
      <x:c r="E4" s="5"/>
      <x:c r="F4" s="5"/>
      <x:c r="G4" s="5"/>
      <x:c r="H4" s="5"/>
    </x:row>
    <x:row r="5" ht="24" customHeight="1">
      <x:c r="A5" s="6" t="str">
        <x:v>139 available predictions. Units without a forecast have blank predicted readings, consumption and charges.</x:v>
      </x:c>
      <x:c r="B5" s="6"/>
      <x:c r="C5" s="6"/>
      <x:c r="D5" s="6"/>
      <x:c r="E5" s="6"/>
      <x:c r="F5" s="6"/>
      <x:c r="G5" s="6"/>
      <x:c r="H5" s="6"/>
    </x:row>
    <x:row r="6" ht="42" customHeight="1">
      <x:c r="A6" s="11" t="str">
        <x:v>Unit</x:v>
      </x:c>
      <x:c r="B6" s="12" t="str">
        <x:v>Previous (m³)</x:v>
      </x:c>
      <x:c r="C6" s="12" t="str">
        <x:v>Predicted present (m³)</x:v>
      </x:c>
      <x:c r="D6" s="12" t="str">
        <x:v>Predicted consumption (m³)</x:v>
      </x:c>
      <x:c r="E6" s="12" t="str">
        <x:v>Estimated water charge (PHP)</x:v>
      </x:c>
      <x:c r="F6" s="12" t="str">
        <x:v>Model</x:v>
      </x:c>
      <x:c r="G6" s="12" t="str">
        <x:v>Forecast status</x:v>
      </x:c>
      <x:c r="H6" s="13" t="str">
        <x:v>Reason when unavailable</x:v>
      </x:c>
    </x:row>
    <x:row r="7" ht="24" customHeight="1">
      <x:c r="A7" s="2" t="str">
        <x:v>231</x:v>
      </x:c>
      <x:c r="B7" s="15" t="n">
        <x:v>1004.914</x:v>
      </x:c>
      <x:c r="C7" s="15" t="n">
        <x:f>IF(AND(ISNUMBER(B7),ISNUMBER(D7)),ROUND(B7+D7,3),"")</x:f>
        <x:v>1023.31</x:v>
      </x:c>
      <x:c r="D7" s="15" t="n">
        <x:v>18.396</x:v>
      </x:c>
      <x:c r="E7" s="16" t="n">
        <x:v>423.11</x:v>
      </x:c>
      <x:c r="F7" s="2" t="str">
        <x:v>Linear Regression</x:v>
      </x:c>
      <x:c r="G7" s="2" t="str">
        <x:v>READY</x:v>
      </x:c>
      <x:c r="H7" s="17" t="str"/>
    </x:row>
    <x:row r="8" ht="24" customHeight="1">
      <x:c r="A8" s="2" t="str">
        <x:v>232</x:v>
      </x:c>
      <x:c r="B8" s="15" t="n">
        <x:v>657.092</x:v>
      </x:c>
      <x:c r="C8" s="15" t="n">
        <x:f>IF(AND(ISNUMBER(B8),ISNUMBER(D8)),ROUND(B8+D8,3),"")</x:f>
        <x:v>660.804</x:v>
      </x:c>
      <x:c r="D8" s="15" t="n">
        <x:v>3.712</x:v>
      </x:c>
      <x:c r="E8" s="16" t="n">
        <x:v>85.38</x:v>
      </x:c>
      <x:c r="F8" s="2" t="str">
        <x:v>Linear Regression</x:v>
      </x:c>
      <x:c r="G8" s="2" t="str">
        <x:v>READY</x:v>
      </x:c>
      <x:c r="H8" s="17" t="str"/>
    </x:row>
    <x:row r="9" ht="24" customHeight="1">
      <x:c r="A9" s="2" t="str">
        <x:v>233</x:v>
      </x:c>
      <x:c r="B9" s="15" t="n">
        <x:v>805.114</x:v>
      </x:c>
      <x:c r="C9" s="15" t="n">
        <x:f>IF(AND(ISNUMBER(B9),ISNUMBER(D9)),ROUND(B9+D9,3),"")</x:f>
        <x:v>807.201</x:v>
      </x:c>
      <x:c r="D9" s="15" t="n">
        <x:v>2.087</x:v>
      </x:c>
      <x:c r="E9" s="16" t="n">
        <x:v>48</x:v>
      </x:c>
      <x:c r="F9" s="2" t="str">
        <x:v>Linear Regression</x:v>
      </x:c>
      <x:c r="G9" s="2" t="str">
        <x:v>READY</x:v>
      </x:c>
      <x:c r="H9" s="17" t="str"/>
    </x:row>
    <x:row r="10" ht="24" customHeight="1">
      <x:c r="A10" s="2" t="str">
        <x:v>234</x:v>
      </x:c>
      <x:c r="B10" s="15" t="n">
        <x:v>570.485</x:v>
      </x:c>
      <x:c r="C10" s="15" t="n">
        <x:f>IF(AND(ISNUMBER(B10),ISNUMBER(D10)),ROUND(B10+D10,3),"")</x:f>
        <x:v>571.563</x:v>
      </x:c>
      <x:c r="D10" s="15" t="n">
        <x:v>1.078</x:v>
      </x:c>
      <x:c r="E10" s="16" t="n">
        <x:v>24.79</x:v>
      </x:c>
      <x:c r="F10" s="2" t="str">
        <x:v>Linear Regression</x:v>
      </x:c>
      <x:c r="G10" s="2" t="str">
        <x:v>READY</x:v>
      </x:c>
      <x:c r="H10" s="17" t="str"/>
    </x:row>
    <x:row r="11" ht="24" customHeight="1">
      <x:c r="A11" s="2" t="str">
        <x:v>235</x:v>
      </x:c>
      <x:c r="B11" s="15" t="n">
        <x:v>436.641</x:v>
      </x:c>
      <x:c r="C11" s="15" t="n">
        <x:f>IF(AND(ISNUMBER(B11),ISNUMBER(D11)),ROUND(B11+D11,3),"")</x:f>
        <x:v>456.052</x:v>
      </x:c>
      <x:c r="D11" s="15" t="n">
        <x:v>19.411</x:v>
      </x:c>
      <x:c r="E11" s="16" t="n">
        <x:v>446.45</x:v>
      </x:c>
      <x:c r="F11" s="2" t="str">
        <x:v>Stable Recent Months</x:v>
      </x:c>
      <x:c r="G11" s="2" t="str">
        <x:v>READY</x:v>
      </x:c>
      <x:c r="H11" s="17" t="str"/>
    </x:row>
    <x:row r="12" ht="24" customHeight="1">
      <x:c r="A12" s="2" t="str">
        <x:v>236</x:v>
      </x:c>
      <x:c r="B12" s="15" t="n">
        <x:v>614.905</x:v>
      </x:c>
      <x:c r="C12" s="15" t="n">
        <x:f>IF(AND(ISNUMBER(B12),ISNUMBER(D12)),ROUND(B12+D12,3),"")</x:f>
        <x:v>617.789</x:v>
      </x:c>
      <x:c r="D12" s="15" t="n">
        <x:v>2.884</x:v>
      </x:c>
      <x:c r="E12" s="16" t="n">
        <x:v>66.33</x:v>
      </x:c>
      <x:c r="F12" s="2" t="str">
        <x:v>Linear Regression</x:v>
      </x:c>
      <x:c r="G12" s="2" t="str">
        <x:v>READY</x:v>
      </x:c>
      <x:c r="H12" s="17" t="str"/>
    </x:row>
    <x:row r="13" ht="24" customHeight="1">
      <x:c r="A13" s="2" t="str">
        <x:v>237</x:v>
      </x:c>
      <x:c r="B13" s="15" t="n">
        <x:v>839.426</x:v>
      </x:c>
      <x:c r="C13" s="15" t="n">
        <x:f>IF(AND(ISNUMBER(B13),ISNUMBER(D13)),ROUND(B13+D13,3),"")</x:f>
        <x:v>840.54</x:v>
      </x:c>
      <x:c r="D13" s="15" t="n">
        <x:v>1.114</x:v>
      </x:c>
      <x:c r="E13" s="16" t="n">
        <x:v>25.62</x:v>
      </x:c>
      <x:c r="F13" s="2" t="str">
        <x:v>Linear Regression</x:v>
      </x:c>
      <x:c r="G13" s="2" t="str">
        <x:v>READY</x:v>
      </x:c>
      <x:c r="H13" s="17" t="str"/>
    </x:row>
    <x:row r="14" ht="24" customHeight="1">
      <x:c r="A14" s="2" t="str">
        <x:v>238</x:v>
      </x:c>
      <x:c r="B14" s="15" t="n">
        <x:v>1035.123</x:v>
      </x:c>
      <x:c r="C14" s="15" t="n">
        <x:f>IF(AND(ISNUMBER(B14),ISNUMBER(D14)),ROUND(B14+D14,3),"")</x:f>
        <x:v>1049.397</x:v>
      </x:c>
      <x:c r="D14" s="15" t="n">
        <x:v>14.274</x:v>
      </x:c>
      <x:c r="E14" s="16" t="n">
        <x:v>328.3</x:v>
      </x:c>
      <x:c r="F14" s="2" t="str">
        <x:v>Linear Regression</x:v>
      </x:c>
      <x:c r="G14" s="2" t="str">
        <x:v>READY</x:v>
      </x:c>
      <x:c r="H14" s="17" t="str"/>
    </x:row>
    <x:row r="15" ht="24" customHeight="1">
      <x:c r="A15" s="2" t="str">
        <x:v>239</x:v>
      </x:c>
      <x:c r="B15" s="15" t="n">
        <x:v>488.169</x:v>
      </x:c>
      <x:c r="C15" s="15" t="n">
        <x:f>IF(AND(ISNUMBER(B15),ISNUMBER(D15)),ROUND(B15+D15,3),"")</x:f>
        <x:v>489.077</x:v>
      </x:c>
      <x:c r="D15" s="15" t="n">
        <x:v>0.908</x:v>
      </x:c>
      <x:c r="E15" s="16" t="n">
        <x:v>20.88</x:v>
      </x:c>
      <x:c r="F15" s="2" t="str">
        <x:v>Linear Regression</x:v>
      </x:c>
      <x:c r="G15" s="2" t="str">
        <x:v>READY</x:v>
      </x:c>
      <x:c r="H15" s="17" t="str"/>
    </x:row>
    <x:row r="16" ht="24" customHeight="1">
      <x:c r="A16" s="2" t="str">
        <x:v>240</x:v>
      </x:c>
      <x:c r="B16" s="15" t="n">
        <x:v>1151.488</x:v>
      </x:c>
      <x:c r="C16" s="15" t="n">
        <x:f>IF(AND(ISNUMBER(B16),ISNUMBER(D16)),ROUND(B16+D16,3),"")</x:f>
        <x:v>1161.701</x:v>
      </x:c>
      <x:c r="D16" s="15" t="n">
        <x:v>10.213</x:v>
      </x:c>
      <x:c r="E16" s="16" t="n">
        <x:v>234.9</x:v>
      </x:c>
      <x:c r="F16" s="2" t="str">
        <x:v>Linear Regression</x:v>
      </x:c>
      <x:c r="G16" s="2" t="str">
        <x:v>READY</x:v>
      </x:c>
      <x:c r="H16" s="17" t="str"/>
    </x:row>
    <x:row r="17" ht="24" customHeight="1">
      <x:c r="A17" s="2" t="str">
        <x:v>241</x:v>
      </x:c>
      <x:c r="B17" s="15" t="n">
        <x:v>825.956</x:v>
      </x:c>
      <x:c r="C17" s="15" t="n">
        <x:f>IF(AND(ISNUMBER(B17),ISNUMBER(D17)),ROUND(B17+D17,3),"")</x:f>
        <x:v>834.005</x:v>
      </x:c>
      <x:c r="D17" s="15" t="n">
        <x:v>8.049</x:v>
      </x:c>
      <x:c r="E17" s="16" t="n">
        <x:v>185.13</x:v>
      </x:c>
      <x:c r="F17" s="2" t="str">
        <x:v>Linear Regression</x:v>
      </x:c>
      <x:c r="G17" s="2" t="str">
        <x:v>READY</x:v>
      </x:c>
      <x:c r="H17" s="17" t="str"/>
    </x:row>
    <x:row r="18" ht="24" customHeight="1">
      <x:c r="A18" s="2" t="str">
        <x:v>242</x:v>
      </x:c>
      <x:c r="B18" s="15" t="n">
        <x:v>365.69</x:v>
      </x:c>
      <x:c r="C18" s="15" t="n">
        <x:f>IF(AND(ISNUMBER(B18),ISNUMBER(D18)),ROUND(B18+D18,3),"")</x:f>
        <x:v>368.157</x:v>
      </x:c>
      <x:c r="D18" s="15" t="n">
        <x:v>2.467</x:v>
      </x:c>
      <x:c r="E18" s="16" t="n">
        <x:v>56.74</x:v>
      </x:c>
      <x:c r="F18" s="2" t="str">
        <x:v>Stable Recent Months</x:v>
      </x:c>
      <x:c r="G18" s="2" t="str">
        <x:v>READY</x:v>
      </x:c>
      <x:c r="H18" s="17" t="str"/>
    </x:row>
    <x:row r="19" ht="24" customHeight="1">
      <x:c r="A19" s="2" t="str">
        <x:v>243</x:v>
      </x:c>
      <x:c r="B19" s="15" t="n">
        <x:v>697.021</x:v>
      </x:c>
      <x:c r="C19" s="15" t="n">
        <x:f>IF(AND(ISNUMBER(B19),ISNUMBER(D19)),ROUND(B19+D19,3),"")</x:f>
        <x:v>698.845</x:v>
      </x:c>
      <x:c r="D19" s="15" t="n">
        <x:v>1.824</x:v>
      </x:c>
      <x:c r="E19" s="16" t="n">
        <x:v>41.95</x:v>
      </x:c>
      <x:c r="F19" s="2" t="str">
        <x:v>Linear Regression</x:v>
      </x:c>
      <x:c r="G19" s="2" t="str">
        <x:v>READY</x:v>
      </x:c>
      <x:c r="H19" s="17" t="str"/>
    </x:row>
    <x:row r="20" ht="24" customHeight="1">
      <x:c r="A20" s="2" t="str">
        <x:v>301</x:v>
      </x:c>
      <x:c r="B20" s="15" t="n">
        <x:v>888.632</x:v>
      </x:c>
      <x:c r="C20" s="15" t="n">
        <x:f>IF(AND(ISNUMBER(B20),ISNUMBER(D20)),ROUND(B20+D20,3),"")</x:f>
        <x:v>892.453</x:v>
      </x:c>
      <x:c r="D20" s="15" t="n">
        <x:v>3.821</x:v>
      </x:c>
      <x:c r="E20" s="16" t="n">
        <x:v>87.88</x:v>
      </x:c>
      <x:c r="F20" s="2" t="str">
        <x:v>Stable Recent Months</x:v>
      </x:c>
      <x:c r="G20" s="2" t="str">
        <x:v>READY</x:v>
      </x:c>
      <x:c r="H20" s="17" t="str"/>
    </x:row>
    <x:row r="21" ht="24" customHeight="1">
      <x:c r="A21" s="2" t="str">
        <x:v>302</x:v>
      </x:c>
      <x:c r="B21" s="15" t="n">
        <x:v>327.871</x:v>
      </x:c>
      <x:c r="C21" s="15" t="n">
        <x:f>IF(AND(ISNUMBER(B21),ISNUMBER(D21)),ROUND(B21+D21,3),"")</x:f>
        <x:v>327.871</x:v>
      </x:c>
      <x:c r="D21" s="15" t="n">
        <x:v>0</x:v>
      </x:c>
      <x:c r="E21" s="16" t="n">
        <x:v>0</x:v>
      </x:c>
      <x:c r="F21" s="2" t="str">
        <x:v>Linear Regression</x:v>
      </x:c>
      <x:c r="G21" s="2" t="str">
        <x:v>READY</x:v>
      </x:c>
      <x:c r="H21" s="17" t="str"/>
    </x:row>
    <x:row r="22" ht="24" customHeight="1">
      <x:c r="A22" s="2" t="str">
        <x:v>303</x:v>
      </x:c>
      <x:c r="B22" s="15" t="n">
        <x:v>1121.869</x:v>
      </x:c>
      <x:c r="C22" s="15" t="n">
        <x:f>IF(AND(ISNUMBER(B22),ISNUMBER(D22)),ROUND(B22+D22,3),"")</x:f>
        <x:v>1129.067</x:v>
      </x:c>
      <x:c r="D22" s="15" t="n">
        <x:v>7.198</x:v>
      </x:c>
      <x:c r="E22" s="16" t="n">
        <x:v>165.55</x:v>
      </x:c>
      <x:c r="F22" s="2" t="str">
        <x:v>Linear Regression</x:v>
      </x:c>
      <x:c r="G22" s="2" t="str">
        <x:v>READY</x:v>
      </x:c>
      <x:c r="H22" s="17" t="str"/>
    </x:row>
    <x:row r="23" ht="24" customHeight="1">
      <x:c r="A23" s="2" t="str">
        <x:v>304</x:v>
      </x:c>
      <x:c r="B23" s="15" t="n">
        <x:v>1000.039</x:v>
      </x:c>
      <x:c r="C23" s="15" t="n">
        <x:f>IF(AND(ISNUMBER(B23),ISNUMBER(D23)),ROUND(B23+D23,3),"")</x:f>
        <x:v>1006.475</x:v>
      </x:c>
      <x:c r="D23" s="15" t="n">
        <x:v>6.436</x:v>
      </x:c>
      <x:c r="E23" s="16" t="n">
        <x:v>148.03</x:v>
      </x:c>
      <x:c r="F23" s="2" t="str">
        <x:v>Linear Regression</x:v>
      </x:c>
      <x:c r="G23" s="2" t="str">
        <x:v>READY</x:v>
      </x:c>
      <x:c r="H23" s="17" t="str"/>
    </x:row>
    <x:row r="24" ht="24" customHeight="1">
      <x:c r="A24" s="2" t="str">
        <x:v>305</x:v>
      </x:c>
      <x:c r="B24" s="15" t="n">
        <x:v>419.407</x:v>
      </x:c>
      <x:c r="C24" s="15" t="n">
        <x:f>IF(AND(ISNUMBER(B24),ISNUMBER(D24)),ROUND(B24+D24,3),"")</x:f>
        <x:v>421.567</x:v>
      </x:c>
      <x:c r="D24" s="15" t="n">
        <x:v>2.16</x:v>
      </x:c>
      <x:c r="E24" s="16" t="n">
        <x:v>49.68</x:v>
      </x:c>
      <x:c r="F24" s="2" t="str">
        <x:v>Stable Recent Months</x:v>
      </x:c>
      <x:c r="G24" s="2" t="str">
        <x:v>READY</x:v>
      </x:c>
      <x:c r="H24" s="17" t="str"/>
    </x:row>
    <x:row r="25" ht="24" customHeight="1">
      <x:c r="A25" s="2" t="str">
        <x:v>306</x:v>
      </x:c>
      <x:c r="B25" s="15" t="n">
        <x:v>957.86</x:v>
      </x:c>
      <x:c r="C25" s="15" t="n">
        <x:f>IF(AND(ISNUMBER(B25),ISNUMBER(D25)),ROUND(B25+D25,3),"")</x:f>
        <x:v>971.414</x:v>
      </x:c>
      <x:c r="D25" s="15" t="n">
        <x:v>13.554</x:v>
      </x:c>
      <x:c r="E25" s="16" t="n">
        <x:v>311.74</x:v>
      </x:c>
      <x:c r="F25" s="2" t="str">
        <x:v>Linear Regression</x:v>
      </x:c>
      <x:c r="G25" s="2" t="str">
        <x:v>READY</x:v>
      </x:c>
      <x:c r="H25" s="17" t="str"/>
    </x:row>
    <x:row r="26" ht="24" customHeight="1">
      <x:c r="A26" s="2" t="str">
        <x:v>307</x:v>
      </x:c>
      <x:c r="B26" s="15" t="n">
        <x:v>1688.67</x:v>
      </x:c>
      <x:c r="C26" s="15" t="n">
        <x:f>IF(AND(ISNUMBER(B26),ISNUMBER(D26)),ROUND(B26+D26,3),"")</x:f>
        <x:v>1705.749</x:v>
      </x:c>
      <x:c r="D26" s="15" t="n">
        <x:v>17.079</x:v>
      </x:c>
      <x:c r="E26" s="16" t="n">
        <x:v>392.82</x:v>
      </x:c>
      <x:c r="F26" s="2" t="str">
        <x:v>Linear Regression</x:v>
      </x:c>
      <x:c r="G26" s="2" t="str">
        <x:v>READY</x:v>
      </x:c>
      <x:c r="H26" s="17" t="str"/>
    </x:row>
    <x:row r="27" ht="24" customHeight="1">
      <x:c r="A27" s="2" t="str">
        <x:v>308</x:v>
      </x:c>
      <x:c r="B27" s="15" t="n">
        <x:v>893.489</x:v>
      </x:c>
      <x:c r="C27" s="15" t="n">
        <x:f>IF(AND(ISNUMBER(B27),ISNUMBER(D27)),ROUND(B27+D27,3),"")</x:f>
        <x:v>898.566</x:v>
      </x:c>
      <x:c r="D27" s="15" t="n">
        <x:v>5.077</x:v>
      </x:c>
      <x:c r="E27" s="16" t="n">
        <x:v>116.77</x:v>
      </x:c>
      <x:c r="F27" s="2" t="str">
        <x:v>Linear Regression</x:v>
      </x:c>
      <x:c r="G27" s="2" t="str">
        <x:v>READY</x:v>
      </x:c>
      <x:c r="H27" s="17" t="str"/>
    </x:row>
    <x:row r="28" ht="24" customHeight="1">
      <x:c r="A28" s="2" t="str">
        <x:v>309</x:v>
      </x:c>
      <x:c r="B28" s="15" t="n">
        <x:v>688.811</x:v>
      </x:c>
      <x:c r="C28" s="15" t="n">
        <x:f>IF(AND(ISNUMBER(B28),ISNUMBER(D28)),ROUND(B28+D28,3),"")</x:f>
        <x:v>694.836</x:v>
      </x:c>
      <x:c r="D28" s="15" t="n">
        <x:v>6.025</x:v>
      </x:c>
      <x:c r="E28" s="16" t="n">
        <x:v>138.58</x:v>
      </x:c>
      <x:c r="F28" s="2" t="str">
        <x:v>Stable Recent Months</x:v>
      </x:c>
      <x:c r="G28" s="2" t="str">
        <x:v>READY</x:v>
      </x:c>
      <x:c r="H28" s="17" t="str"/>
    </x:row>
    <x:row r="29" ht="24" customHeight="1">
      <x:c r="A29" s="2" t="str">
        <x:v>310</x:v>
      </x:c>
      <x:c r="B29" s="15" t="n">
        <x:v>736.683</x:v>
      </x:c>
      <x:c r="C29" s="15" t="n">
        <x:f>IF(AND(ISNUMBER(B29),ISNUMBER(D29)),ROUND(B29+D29,3),"")</x:f>
        <x:v>736.683</x:v>
      </x:c>
      <x:c r="D29" s="15" t="n">
        <x:v>0</x:v>
      </x:c>
      <x:c r="E29" s="16" t="n">
        <x:v>0</x:v>
      </x:c>
      <x:c r="F29" s="2" t="str">
        <x:v>Linear Regression</x:v>
      </x:c>
      <x:c r="G29" s="2" t="str">
        <x:v>READY</x:v>
      </x:c>
      <x:c r="H29" s="17" t="str"/>
    </x:row>
    <x:row r="30" ht="24" customHeight="1">
      <x:c r="A30" s="2" t="str">
        <x:v>311</x:v>
      </x:c>
      <x:c r="B30" s="15" t="n">
        <x:v>247.4</x:v>
      </x:c>
      <x:c r="C30" s="15" t="n">
        <x:f>IF(AND(ISNUMBER(B30),ISNUMBER(D30)),ROUND(B30+D30,3),"")</x:f>
        <x:v>252.712</x:v>
      </x:c>
      <x:c r="D30" s="15" t="n">
        <x:v>5.312</x:v>
      </x:c>
      <x:c r="E30" s="16" t="n">
        <x:v>122.18</x:v>
      </x:c>
      <x:c r="F30" s="2" t="str">
        <x:v>Linear Regression</x:v>
      </x:c>
      <x:c r="G30" s="2" t="str">
        <x:v>READY</x:v>
      </x:c>
      <x:c r="H30" s="17" t="str"/>
    </x:row>
    <x:row r="31" ht="24" customHeight="1">
      <x:c r="A31" s="2" t="str">
        <x:v>312</x:v>
      </x:c>
      <x:c r="B31" s="15" t="n">
        <x:v>698.379</x:v>
      </x:c>
      <x:c r="C31" s="15" t="n">
        <x:f>IF(AND(ISNUMBER(B31),ISNUMBER(D31)),ROUND(B31+D31,3),"")</x:f>
        <x:v>703.226</x:v>
      </x:c>
      <x:c r="D31" s="15" t="n">
        <x:v>4.847</x:v>
      </x:c>
      <x:c r="E31" s="16" t="n">
        <x:v>111.48</x:v>
      </x:c>
      <x:c r="F31" s="2" t="str">
        <x:v>Linear Regression</x:v>
      </x:c>
      <x:c r="G31" s="2" t="str">
        <x:v>READY</x:v>
      </x:c>
      <x:c r="H31" s="17" t="str"/>
    </x:row>
    <x:row r="32" ht="24" customHeight="1">
      <x:c r="A32" s="2" t="str">
        <x:v>313</x:v>
      </x:c>
      <x:c r="B32" s="15" t="n">
        <x:v>575.427</x:v>
      </x:c>
      <x:c r="C32" s="15" t="n">
        <x:f>IF(AND(ISNUMBER(B32),ISNUMBER(D32)),ROUND(B32+D32,3),"")</x:f>
        <x:v>578.371</x:v>
      </x:c>
      <x:c r="D32" s="15" t="n">
        <x:v>2.944</x:v>
      </x:c>
      <x:c r="E32" s="16" t="n">
        <x:v>67.71</x:v>
      </x:c>
      <x:c r="F32" s="2" t="str">
        <x:v>Stable Recent Months</x:v>
      </x:c>
      <x:c r="G32" s="2" t="str">
        <x:v>READY</x:v>
      </x:c>
      <x:c r="H32" s="17" t="str"/>
    </x:row>
    <x:row r="33" ht="24" customHeight="1">
      <x:c r="A33" s="2" t="str">
        <x:v>314</x:v>
      </x:c>
      <x:c r="B33" s="15" t="n">
        <x:v>508.181</x:v>
      </x:c>
      <x:c r="C33" s="15" t="n">
        <x:f>IF(AND(ISNUMBER(B33),ISNUMBER(D33)),ROUND(B33+D33,3),"")</x:f>
        <x:v>512.462</x:v>
      </x:c>
      <x:c r="D33" s="15" t="n">
        <x:v>4.281</x:v>
      </x:c>
      <x:c r="E33" s="16" t="n">
        <x:v>98.46</x:v>
      </x:c>
      <x:c r="F33" s="2" t="str">
        <x:v>Linear Regression</x:v>
      </x:c>
      <x:c r="G33" s="2" t="str">
        <x:v>READY</x:v>
      </x:c>
      <x:c r="H33" s="17" t="str"/>
    </x:row>
    <x:row r="34" ht="24" customHeight="1">
      <x:c r="A34" s="2" t="str">
        <x:v>315</x:v>
      </x:c>
      <x:c r="B34" s="15" t="n">
        <x:v>830.07</x:v>
      </x:c>
      <x:c r="C34" s="15" t="n">
        <x:f>IF(AND(ISNUMBER(B34),ISNUMBER(D34)),ROUND(B34+D34,3),"")</x:f>
        <x:v>834.812</x:v>
      </x:c>
      <x:c r="D34" s="15" t="n">
        <x:v>4.742</x:v>
      </x:c>
      <x:c r="E34" s="16" t="n">
        <x:v>109.07</x:v>
      </x:c>
      <x:c r="F34" s="2" t="str">
        <x:v>Linear Regression</x:v>
      </x:c>
      <x:c r="G34" s="2" t="str">
        <x:v>READY</x:v>
      </x:c>
      <x:c r="H34" s="17" t="str"/>
    </x:row>
    <x:row r="35" ht="24" customHeight="1">
      <x:c r="A35" s="2" t="str">
        <x:v>316</x:v>
      </x:c>
      <x:c r="B35" s="15" t="n">
        <x:v>700.483</x:v>
      </x:c>
      <x:c r="C35" s="15" t="n">
        <x:f>IF(AND(ISNUMBER(B35),ISNUMBER(D35)),ROUND(B35+D35,3),"")</x:f>
        <x:v>705.208</x:v>
      </x:c>
      <x:c r="D35" s="15" t="n">
        <x:v>4.725</x:v>
      </x:c>
      <x:c r="E35" s="16" t="n">
        <x:v>108.67</x:v>
      </x:c>
      <x:c r="F35" s="2" t="str">
        <x:v>Linear Regression</x:v>
      </x:c>
      <x:c r="G35" s="2" t="str">
        <x:v>READY</x:v>
      </x:c>
      <x:c r="H35" s="17" t="str"/>
    </x:row>
    <x:row r="36" ht="24" customHeight="1">
      <x:c r="A36" s="2" t="str">
        <x:v>317</x:v>
      </x:c>
      <x:c r="B36" s="15" t="n">
        <x:v>1193.139</x:v>
      </x:c>
      <x:c r="C36" s="15" t="n">
        <x:f>IF(AND(ISNUMBER(B36),ISNUMBER(D36)),ROUND(B36+D36,3),"")</x:f>
        <x:v>1204.217</x:v>
      </x:c>
      <x:c r="D36" s="15" t="n">
        <x:v>11.078</x:v>
      </x:c>
      <x:c r="E36" s="16" t="n">
        <x:v>254.79</x:v>
      </x:c>
      <x:c r="F36" s="2" t="str">
        <x:v>Linear Regression</x:v>
      </x:c>
      <x:c r="G36" s="2" t="str">
        <x:v>READY</x:v>
      </x:c>
      <x:c r="H36" s="17" t="str"/>
    </x:row>
    <x:row r="37" ht="24" customHeight="1">
      <x:c r="A37" s="2" t="str">
        <x:v>318</x:v>
      </x:c>
      <x:c r="B37" s="15" t="n">
        <x:v>728.423</x:v>
      </x:c>
      <x:c r="C37" s="15" t="n">
        <x:f>IF(AND(ISNUMBER(B37),ISNUMBER(D37)),ROUND(B37+D37,3),"")</x:f>
        <x:v>737.257</x:v>
      </x:c>
      <x:c r="D37" s="15" t="n">
        <x:v>8.834</x:v>
      </x:c>
      <x:c r="E37" s="16" t="n">
        <x:v>203.18</x:v>
      </x:c>
      <x:c r="F37" s="2" t="str">
        <x:v>Linear Regression</x:v>
      </x:c>
      <x:c r="G37" s="2" t="str">
        <x:v>READY</x:v>
      </x:c>
      <x:c r="H37" s="17" t="str"/>
    </x:row>
    <x:row r="38" ht="24" customHeight="1">
      <x:c r="A38" s="2" t="str">
        <x:v>319</x:v>
      </x:c>
      <x:c r="B38" s="15" t="n">
        <x:v>210.224</x:v>
      </x:c>
      <x:c r="C38" s="15" t="n">
        <x:f>IF(AND(ISNUMBER(B38),ISNUMBER(D38)),ROUND(B38+D38,3),"")</x:f>
        <x:v>212.751</x:v>
      </x:c>
      <x:c r="D38" s="15" t="n">
        <x:v>2.527</x:v>
      </x:c>
      <x:c r="E38" s="16" t="n">
        <x:v>58.12</x:v>
      </x:c>
      <x:c r="F38" s="2" t="str">
        <x:v>Linear Regression</x:v>
      </x:c>
      <x:c r="G38" s="2" t="str">
        <x:v>READY</x:v>
      </x:c>
      <x:c r="H38" s="17" t="str"/>
    </x:row>
    <x:row r="39" ht="24" customHeight="1">
      <x:c r="A39" s="2" t="str">
        <x:v>320</x:v>
      </x:c>
      <x:c r="B39" s="15" t="n">
        <x:v>564.802</x:v>
      </x:c>
      <x:c r="C39" s="15" t="n">
        <x:f>IF(AND(ISNUMBER(B39),ISNUMBER(D39)),ROUND(B39+D39,3),"")</x:f>
        <x:v>573.949</x:v>
      </x:c>
      <x:c r="D39" s="15" t="n">
        <x:v>9.147</x:v>
      </x:c>
      <x:c r="E39" s="16" t="n">
        <x:v>210.38</x:v>
      </x:c>
      <x:c r="F39" s="2" t="str">
        <x:v>Linear Regression</x:v>
      </x:c>
      <x:c r="G39" s="2" t="str">
        <x:v>READY</x:v>
      </x:c>
      <x:c r="H39" s="17" t="str"/>
    </x:row>
    <x:row r="40" ht="24" customHeight="1">
      <x:c r="A40" s="2" t="str">
        <x:v>321</x:v>
      </x:c>
      <x:c r="B40" s="15" t="n">
        <x:v>657.729</x:v>
      </x:c>
      <x:c r="C40" s="15" t="n">
        <x:f>IF(AND(ISNUMBER(B40),ISNUMBER(D40)),ROUND(B40+D40,3),"")</x:f>
        <x:v>661.849</x:v>
      </x:c>
      <x:c r="D40" s="15" t="n">
        <x:v>4.12</x:v>
      </x:c>
      <x:c r="E40" s="16" t="n">
        <x:v>94.76</x:v>
      </x:c>
      <x:c r="F40" s="2" t="str">
        <x:v>Linear Regression</x:v>
      </x:c>
      <x:c r="G40" s="2" t="str">
        <x:v>READY</x:v>
      </x:c>
      <x:c r="H40" s="17" t="str"/>
    </x:row>
    <x:row r="41" ht="24" customHeight="1">
      <x:c r="A41" s="2" t="str">
        <x:v>322</x:v>
      </x:c>
      <x:c r="B41" s="15" t="n">
        <x:v>980.278</x:v>
      </x:c>
      <x:c r="C41" s="15" t="n">
        <x:f>IF(AND(ISNUMBER(B41),ISNUMBER(D41)),ROUND(B41+D41,3),"")</x:f>
        <x:v>987.256</x:v>
      </x:c>
      <x:c r="D41" s="15" t="n">
        <x:v>6.978</x:v>
      </x:c>
      <x:c r="E41" s="16" t="n">
        <x:v>160.49</x:v>
      </x:c>
      <x:c r="F41" s="2" t="str">
        <x:v>Linear Regression</x:v>
      </x:c>
      <x:c r="G41" s="2" t="str">
        <x:v>READY</x:v>
      </x:c>
      <x:c r="H41" s="17" t="str"/>
    </x:row>
    <x:row r="42" ht="24" customHeight="1">
      <x:c r="A42" s="2" t="str">
        <x:v>323</x:v>
      </x:c>
      <x:c r="B42" s="15" t="n">
        <x:v>859.473</x:v>
      </x:c>
      <x:c r="C42" s="15" t="n">
        <x:f>IF(AND(ISNUMBER(B42),ISNUMBER(D42)),ROUND(B42+D42,3),"")</x:f>
        <x:v>863.265</x:v>
      </x:c>
      <x:c r="D42" s="15" t="n">
        <x:v>3.792</x:v>
      </x:c>
      <x:c r="E42" s="16" t="n">
        <x:v>87.22</x:v>
      </x:c>
      <x:c r="F42" s="2" t="str">
        <x:v>Stable Recent Months</x:v>
      </x:c>
      <x:c r="G42" s="2" t="str">
        <x:v>READY</x:v>
      </x:c>
      <x:c r="H42" s="17" t="str"/>
    </x:row>
    <x:row r="43" ht="24" customHeight="1">
      <x:c r="A43" s="2" t="str">
        <x:v>324</x:v>
      </x:c>
      <x:c r="B43" s="15" t="n">
        <x:v>906.477</x:v>
      </x:c>
      <x:c r="C43" s="15" t="n">
        <x:f>IF(AND(ISNUMBER(B43),ISNUMBER(D43)),ROUND(B43+D43,3),"")</x:f>
        <x:v>914.196</x:v>
      </x:c>
      <x:c r="D43" s="15" t="n">
        <x:v>7.719</x:v>
      </x:c>
      <x:c r="E43" s="16" t="n">
        <x:v>177.54</x:v>
      </x:c>
      <x:c r="F43" s="2" t="str">
        <x:v>Linear Regression</x:v>
      </x:c>
      <x:c r="G43" s="2" t="str">
        <x:v>READY</x:v>
      </x:c>
      <x:c r="H43" s="17" t="str"/>
    </x:row>
    <x:row r="44" ht="24" customHeight="1">
      <x:c r="A44" s="2" t="str">
        <x:v>325</x:v>
      </x:c>
      <x:c r="B44" s="15" t="n">
        <x:v>998.1</x:v>
      </x:c>
      <x:c r="C44" s="15" t="n">
        <x:f>IF(AND(ISNUMBER(B44),ISNUMBER(D44)),ROUND(B44+D44,3),"")</x:f>
        <x:v>1006.233</x:v>
      </x:c>
      <x:c r="D44" s="15" t="n">
        <x:v>8.133</x:v>
      </x:c>
      <x:c r="E44" s="16" t="n">
        <x:v>187.06</x:v>
      </x:c>
      <x:c r="F44" s="2" t="str">
        <x:v>Linear Regression</x:v>
      </x:c>
      <x:c r="G44" s="2" t="str">
        <x:v>READY</x:v>
      </x:c>
      <x:c r="H44" s="17" t="str"/>
    </x:row>
    <x:row r="45" ht="24" customHeight="1">
      <x:c r="A45" s="2" t="str">
        <x:v>326</x:v>
      </x:c>
      <x:c r="B45" s="15" t="n">
        <x:v>1698.164</x:v>
      </x:c>
      <x:c r="C45" s="15" t="n">
        <x:f>IF(AND(ISNUMBER(B45),ISNUMBER(D45)),ROUND(B45+D45,3),"")</x:f>
        <x:v>1703.38</x:v>
      </x:c>
      <x:c r="D45" s="15" t="n">
        <x:v>5.216</x:v>
      </x:c>
      <x:c r="E45" s="16" t="n">
        <x:v>119.97</x:v>
      </x:c>
      <x:c r="F45" s="2" t="str">
        <x:v>Linear Regression</x:v>
      </x:c>
      <x:c r="G45" s="2" t="str">
        <x:v>READY</x:v>
      </x:c>
      <x:c r="H45" s="17" t="str"/>
    </x:row>
    <x:row r="46" ht="24" customHeight="1">
      <x:c r="A46" s="2" t="str">
        <x:v>327</x:v>
      </x:c>
      <x:c r="B46" s="15" t="n">
        <x:v>896.165</x:v>
      </x:c>
      <x:c r="C46" s="15" t="n">
        <x:f>IF(AND(ISNUMBER(B46),ISNUMBER(D46)),ROUND(B46+D46,3),"")</x:f>
        <x:v>902.127</x:v>
      </x:c>
      <x:c r="D46" s="15" t="n">
        <x:v>5.962</x:v>
      </x:c>
      <x:c r="E46" s="16" t="n">
        <x:v>137.13</x:v>
      </x:c>
      <x:c r="F46" s="2" t="str">
        <x:v>Linear Regression</x:v>
      </x:c>
      <x:c r="G46" s="2" t="str">
        <x:v>READY</x:v>
      </x:c>
      <x:c r="H46" s="17" t="str"/>
    </x:row>
    <x:row r="47" ht="24" customHeight="1">
      <x:c r="A47" s="2" t="str">
        <x:v>328</x:v>
      </x:c>
      <x:c r="B47" s="15" t="n">
        <x:v>1069.829</x:v>
      </x:c>
      <x:c r="C47" s="15" t="n">
        <x:f>IF(AND(ISNUMBER(B47),ISNUMBER(D47)),ROUND(B47+D47,3),"")</x:f>
        <x:v>1071.236</x:v>
      </x:c>
      <x:c r="D47" s="15" t="n">
        <x:v>1.407</x:v>
      </x:c>
      <x:c r="E47" s="16" t="n">
        <x:v>32.36</x:v>
      </x:c>
      <x:c r="F47" s="2" t="str">
        <x:v>Linear Regression</x:v>
      </x:c>
      <x:c r="G47" s="2" t="str">
        <x:v>READY</x:v>
      </x:c>
      <x:c r="H47" s="17" t="str"/>
    </x:row>
    <x:row r="48" ht="24" customHeight="1">
      <x:c r="A48" s="2" t="str">
        <x:v>329</x:v>
      </x:c>
      <x:c r="B48" s="15" t="n">
        <x:v>611.998</x:v>
      </x:c>
      <x:c r="C48" s="15" t="n">
        <x:f>IF(AND(ISNUMBER(B48),ISNUMBER(D48)),ROUND(B48+D48,3),"")</x:f>
        <x:v>614.118</x:v>
      </x:c>
      <x:c r="D48" s="15" t="n">
        <x:v>2.12</x:v>
      </x:c>
      <x:c r="E48" s="16" t="n">
        <x:v>48.76</x:v>
      </x:c>
      <x:c r="F48" s="2" t="str">
        <x:v>Linear Regression</x:v>
      </x:c>
      <x:c r="G48" s="2" t="str">
        <x:v>READY</x:v>
      </x:c>
      <x:c r="H48" s="17" t="str"/>
    </x:row>
    <x:row r="49" ht="24" customHeight="1">
      <x:c r="A49" s="2" t="str">
        <x:v>330</x:v>
      </x:c>
      <x:c r="B49" s="15" t="n">
        <x:v>668.83</x:v>
      </x:c>
      <x:c r="C49" s="15" t="n">
        <x:f>IF(AND(ISNUMBER(B49),ISNUMBER(D49)),ROUND(B49+D49,3),"")</x:f>
        <x:v>670.988</x:v>
      </x:c>
      <x:c r="D49" s="15" t="n">
        <x:v>2.158</x:v>
      </x:c>
      <x:c r="E49" s="16" t="n">
        <x:v>49.63</x:v>
      </x:c>
      <x:c r="F49" s="2" t="str">
        <x:v>Linear Regression</x:v>
      </x:c>
      <x:c r="G49" s="2" t="str">
        <x:v>READY</x:v>
      </x:c>
      <x:c r="H49" s="17" t="str"/>
    </x:row>
    <x:row r="50" ht="24" customHeight="1">
      <x:c r="A50" s="2" t="str">
        <x:v>331</x:v>
      </x:c>
      <x:c r="B50" s="15" t="n">
        <x:v>1444.576</x:v>
      </x:c>
      <x:c r="C50" s="15" t="n">
        <x:f>IF(AND(ISNUMBER(B50),ISNUMBER(D50)),ROUND(B50+D50,3),"")</x:f>
        <x:v>1454.387</x:v>
      </x:c>
      <x:c r="D50" s="15" t="n">
        <x:v>9.811</x:v>
      </x:c>
      <x:c r="E50" s="16" t="n">
        <x:v>225.65</x:v>
      </x:c>
      <x:c r="F50" s="2" t="str">
        <x:v>Linear Regression</x:v>
      </x:c>
      <x:c r="G50" s="2" t="str">
        <x:v>READY</x:v>
      </x:c>
      <x:c r="H50" s="17" t="str"/>
    </x:row>
    <x:row r="51" ht="24" customHeight="1">
      <x:c r="A51" s="2" t="str">
        <x:v>332</x:v>
      </x:c>
      <x:c r="B51" s="15" t="n">
        <x:v>1081.567</x:v>
      </x:c>
      <x:c r="C51" s="15" t="n">
        <x:f>IF(AND(ISNUMBER(B51),ISNUMBER(D51)),ROUND(B51+D51,3),"")</x:f>
        <x:v>1092.276</x:v>
      </x:c>
      <x:c r="D51" s="15" t="n">
        <x:v>10.709</x:v>
      </x:c>
      <x:c r="E51" s="16" t="n">
        <x:v>246.31</x:v>
      </x:c>
      <x:c r="F51" s="2" t="str">
        <x:v>Linear Regression</x:v>
      </x:c>
      <x:c r="G51" s="2" t="str">
        <x:v>READY</x:v>
      </x:c>
      <x:c r="H51" s="17" t="str"/>
    </x:row>
    <x:row r="52" ht="24" customHeight="1">
      <x:c r="A52" s="2" t="str">
        <x:v>333</x:v>
      </x:c>
      <x:c r="B52" s="15" t="n">
        <x:v>524.92</x:v>
      </x:c>
      <x:c r="C52" s="15" t="n">
        <x:f>IF(AND(ISNUMBER(B52),ISNUMBER(D52)),ROUND(B52+D52,3),"")</x:f>
        <x:v>524.92</x:v>
      </x:c>
      <x:c r="D52" s="15" t="n">
        <x:v>0</x:v>
      </x:c>
      <x:c r="E52" s="16" t="n">
        <x:v>0</x:v>
      </x:c>
      <x:c r="F52" s="2" t="str">
        <x:v>Linear Regression</x:v>
      </x:c>
      <x:c r="G52" s="2" t="str">
        <x:v>READY</x:v>
      </x:c>
      <x:c r="H52" s="17" t="str"/>
    </x:row>
    <x:row r="53" ht="24" customHeight="1">
      <x:c r="A53" s="2" t="str">
        <x:v>334</x:v>
      </x:c>
      <x:c r="B53" s="15" t="n">
        <x:v>510.344</x:v>
      </x:c>
      <x:c r="C53" s="15" t="n">
        <x:f>IF(AND(ISNUMBER(B53),ISNUMBER(D53)),ROUND(B53+D53,3),"")</x:f>
        <x:v>510.344</x:v>
      </x:c>
      <x:c r="D53" s="15" t="n">
        <x:v>0</x:v>
      </x:c>
      <x:c r="E53" s="16" t="n">
        <x:v>0</x:v>
      </x:c>
      <x:c r="F53" s="2" t="str">
        <x:v>Linear Regression</x:v>
      </x:c>
      <x:c r="G53" s="2" t="str">
        <x:v>READY</x:v>
      </x:c>
      <x:c r="H53" s="17" t="str"/>
    </x:row>
    <x:row r="54" ht="24" customHeight="1">
      <x:c r="A54" s="2" t="str">
        <x:v>335</x:v>
      </x:c>
      <x:c r="B54" s="15" t="n">
        <x:v>800.676</x:v>
      </x:c>
      <x:c r="C54" s="15" t="n">
        <x:f>IF(AND(ISNUMBER(B54),ISNUMBER(D54)),ROUND(B54+D54,3),"")</x:f>
        <x:v>807.107</x:v>
      </x:c>
      <x:c r="D54" s="15" t="n">
        <x:v>6.431</x:v>
      </x:c>
      <x:c r="E54" s="16" t="n">
        <x:v>147.91</x:v>
      </x:c>
      <x:c r="F54" s="2" t="str">
        <x:v>Stable Recent Months</x:v>
      </x:c>
      <x:c r="G54" s="2" t="str">
        <x:v>READY</x:v>
      </x:c>
      <x:c r="H54" s="17" t="str"/>
    </x:row>
    <x:row r="55" ht="24" customHeight="1">
      <x:c r="A55" s="2" t="str">
        <x:v>336</x:v>
      </x:c>
      <x:c r="B55" s="15" t="n">
        <x:v>1782.233</x:v>
      </x:c>
      <x:c r="C55" s="15" t="n">
        <x:f>IF(AND(ISNUMBER(B55),ISNUMBER(D55)),ROUND(B55+D55,3),"")</x:f>
        <x:v>1803.255</x:v>
      </x:c>
      <x:c r="D55" s="15" t="n">
        <x:v>21.022</x:v>
      </x:c>
      <x:c r="E55" s="16" t="n">
        <x:v>483.51</x:v>
      </x:c>
      <x:c r="F55" s="2" t="str">
        <x:v>Stable Recent Months</x:v>
      </x:c>
      <x:c r="G55" s="2" t="str">
        <x:v>READY</x:v>
      </x:c>
      <x:c r="H55" s="17" t="str"/>
    </x:row>
    <x:row r="56" ht="24" customHeight="1">
      <x:c r="A56" s="2" t="str">
        <x:v>337</x:v>
      </x:c>
      <x:c r="B56" s="15" t="n">
        <x:v>1684.372</x:v>
      </x:c>
      <x:c r="C56" s="15" t="n">
        <x:f>IF(AND(ISNUMBER(B56),ISNUMBER(D56)),ROUND(B56+D56,3),"")</x:f>
        <x:v>1691.975</x:v>
      </x:c>
      <x:c r="D56" s="15" t="n">
        <x:v>7.603</x:v>
      </x:c>
      <x:c r="E56" s="16" t="n">
        <x:v>174.87</x:v>
      </x:c>
      <x:c r="F56" s="2" t="str">
        <x:v>Stable Recent Months</x:v>
      </x:c>
      <x:c r="G56" s="2" t="str">
        <x:v>READY</x:v>
      </x:c>
      <x:c r="H56" s="17" t="str"/>
    </x:row>
    <x:row r="57" ht="24" customHeight="1">
      <x:c r="A57" s="2" t="str">
        <x:v>338</x:v>
      </x:c>
      <x:c r="B57" s="15" t="n">
        <x:v>349.222</x:v>
      </x:c>
      <x:c r="C57" s="15" t="n">
        <x:f>IF(AND(ISNUMBER(B57),ISNUMBER(D57)),ROUND(B57+D57,3),"")</x:f>
        <x:v>349.706</x:v>
      </x:c>
      <x:c r="D57" s="15" t="n">
        <x:v>0.484</x:v>
      </x:c>
      <x:c r="E57" s="16" t="n">
        <x:v>11.13</x:v>
      </x:c>
      <x:c r="F57" s="2" t="str">
        <x:v>Linear Regression</x:v>
      </x:c>
      <x:c r="G57" s="2" t="str">
        <x:v>READY</x:v>
      </x:c>
      <x:c r="H57" s="17" t="str"/>
    </x:row>
    <x:row r="58" ht="24" customHeight="1">
      <x:c r="A58" s="2" t="str">
        <x:v>339</x:v>
      </x:c>
      <x:c r="B58" s="15" t="n">
        <x:v>56.387</x:v>
      </x:c>
      <x:c r="C58" s="15" t="n">
        <x:f>IF(AND(ISNUMBER(B58),ISNUMBER(D58)),ROUND(B58+D58,3),"")</x:f>
        <x:v>58.284</x:v>
      </x:c>
      <x:c r="D58" s="15" t="n">
        <x:v>1.897</x:v>
      </x:c>
      <x:c r="E58" s="16" t="n">
        <x:v>43.63</x:v>
      </x:c>
      <x:c r="F58" s="2" t="str">
        <x:v>Linear Regression</x:v>
      </x:c>
      <x:c r="G58" s="2" t="str">
        <x:v>READY</x:v>
      </x:c>
      <x:c r="H58" s="17" t="str"/>
    </x:row>
    <x:row r="59" ht="24" customHeight="1">
      <x:c r="A59" s="2" t="str">
        <x:v>340</x:v>
      </x:c>
      <x:c r="B59" s="15" t="n">
        <x:v>775.811</x:v>
      </x:c>
      <x:c r="C59" s="15" t="n">
        <x:f>IF(AND(ISNUMBER(B59),ISNUMBER(D59)),ROUND(B59+D59,3),"")</x:f>
        <x:v>780.072</x:v>
      </x:c>
      <x:c r="D59" s="15" t="n">
        <x:v>4.261</x:v>
      </x:c>
      <x:c r="E59" s="16" t="n">
        <x:v>98</x:v>
      </x:c>
      <x:c r="F59" s="2" t="str">
        <x:v>Linear Regression</x:v>
      </x:c>
      <x:c r="G59" s="2" t="str">
        <x:v>READY</x:v>
      </x:c>
      <x:c r="H59" s="17" t="str"/>
    </x:row>
    <x:row r="60" ht="24" customHeight="1">
      <x:c r="A60" s="2" t="str">
        <x:v>341</x:v>
      </x:c>
      <x:c r="B60" s="15" t="n">
        <x:v>1224.642</x:v>
      </x:c>
      <x:c r="C60" s="15" t="n">
        <x:f>IF(AND(ISNUMBER(B60),ISNUMBER(D60)),ROUND(B60+D60,3),"")</x:f>
        <x:v>1228.954</x:v>
      </x:c>
      <x:c r="D60" s="15" t="n">
        <x:v>4.312</x:v>
      </x:c>
      <x:c r="E60" s="16" t="n">
        <x:v>99.18</x:v>
      </x:c>
      <x:c r="F60" s="2" t="str">
        <x:v>Linear Regression</x:v>
      </x:c>
      <x:c r="G60" s="2" t="str">
        <x:v>READY</x:v>
      </x:c>
      <x:c r="H60" s="17" t="str"/>
    </x:row>
    <x:row r="61" ht="24" customHeight="1">
      <x:c r="A61" s="2" t="str">
        <x:v>342</x:v>
      </x:c>
      <x:c r="B61" s="15" t="n">
        <x:v>1657.385</x:v>
      </x:c>
      <x:c r="C61" s="15" t="n">
        <x:f>IF(AND(ISNUMBER(B61),ISNUMBER(D61)),ROUND(B61+D61,3),"")</x:f>
        <x:v>1658.666</x:v>
      </x:c>
      <x:c r="D61" s="15" t="n">
        <x:v>1.281</x:v>
      </x:c>
      <x:c r="E61" s="16" t="n">
        <x:v>29.46</x:v>
      </x:c>
      <x:c r="F61" s="2" t="str">
        <x:v>Linear Regression</x:v>
      </x:c>
      <x:c r="G61" s="2" t="str">
        <x:v>READY</x:v>
      </x:c>
      <x:c r="H61" s="17" t="str"/>
    </x:row>
    <x:row r="62" ht="24" customHeight="1">
      <x:c r="A62" s="2" t="str">
        <x:v>343</x:v>
      </x:c>
      <x:c r="B62" s="15" t="n">
        <x:v>669.34</x:v>
      </x:c>
      <x:c r="C62" s="15" t="n">
        <x:f>IF(AND(ISNUMBER(B62),ISNUMBER(D62)),ROUND(B62+D62,3),"")</x:f>
        <x:v>677.384</x:v>
      </x:c>
      <x:c r="D62" s="15" t="n">
        <x:v>8.044</x:v>
      </x:c>
      <x:c r="E62" s="16" t="n">
        <x:v>185.01</x:v>
      </x:c>
      <x:c r="F62" s="2" t="str">
        <x:v>Linear Regression</x:v>
      </x:c>
      <x:c r="G62" s="2" t="str">
        <x:v>READY</x:v>
      </x:c>
      <x:c r="H62" s="17" t="str"/>
    </x:row>
    <x:row r="63" ht="24" customHeight="1">
      <x:c r="A63" s="2" t="str">
        <x:v>401</x:v>
      </x:c>
      <x:c r="B63" s="15" t="n">
        <x:v>350.58</x:v>
      </x:c>
      <x:c r="C63" s="15" t="n">
        <x:f>IF(AND(ISNUMBER(B63),ISNUMBER(D63)),ROUND(B63+D63,3),"")</x:f>
        <x:v>362.452</x:v>
      </x:c>
      <x:c r="D63" s="15" t="n">
        <x:v>11.872</x:v>
      </x:c>
      <x:c r="E63" s="16" t="n">
        <x:v>273.06</x:v>
      </x:c>
      <x:c r="F63" s="2" t="str">
        <x:v>Linear Regression</x:v>
      </x:c>
      <x:c r="G63" s="2" t="str">
        <x:v>READY</x:v>
      </x:c>
      <x:c r="H63" s="17" t="str"/>
    </x:row>
    <x:row r="64" ht="24" customHeight="1">
      <x:c r="A64" s="2" t="str">
        <x:v>402</x:v>
      </x:c>
      <x:c r="B64" s="15" t="n">
        <x:v>717.272</x:v>
      </x:c>
      <x:c r="C64" s="15" t="n">
        <x:f>IF(AND(ISNUMBER(B64),ISNUMBER(D64)),ROUND(B64+D64,3),"")</x:f>
        <x:v>727.212</x:v>
      </x:c>
      <x:c r="D64" s="15" t="n">
        <x:v>9.94</x:v>
      </x:c>
      <x:c r="E64" s="16" t="n">
        <x:v>228.62</x:v>
      </x:c>
      <x:c r="F64" s="2" t="str">
        <x:v>Linear Regression</x:v>
      </x:c>
      <x:c r="G64" s="2" t="str">
        <x:v>READY</x:v>
      </x:c>
      <x:c r="H64" s="17" t="str"/>
    </x:row>
    <x:row r="65" ht="24" customHeight="1">
      <x:c r="A65" s="2" t="str">
        <x:v>403</x:v>
      </x:c>
      <x:c r="B65" s="15" t="n">
        <x:v>783.898</x:v>
      </x:c>
      <x:c r="C65" s="15" t="n">
        <x:f>IF(AND(ISNUMBER(B65),ISNUMBER(D65)),ROUND(B65+D65,3),"")</x:f>
        <x:v>788.573</x:v>
      </x:c>
      <x:c r="D65" s="15" t="n">
        <x:v>4.675</x:v>
      </x:c>
      <x:c r="E65" s="16" t="n">
        <x:v>107.52</x:v>
      </x:c>
      <x:c r="F65" s="2" t="str">
        <x:v>Linear Regression</x:v>
      </x:c>
      <x:c r="G65" s="2" t="str">
        <x:v>READY</x:v>
      </x:c>
      <x:c r="H65" s="17" t="str"/>
    </x:row>
    <x:row r="66" ht="24" customHeight="1">
      <x:c r="A66" s="2" t="str">
        <x:v>404</x:v>
      </x:c>
      <x:c r="B66" s="15" t="n">
        <x:v>751.269</x:v>
      </x:c>
      <x:c r="C66" s="15" t="n">
        <x:f>IF(AND(ISNUMBER(B66),ISNUMBER(D66)),ROUND(B66+D66,3),"")</x:f>
        <x:v>752.963</x:v>
      </x:c>
      <x:c r="D66" s="15" t="n">
        <x:v>1.694</x:v>
      </x:c>
      <x:c r="E66" s="16" t="n">
        <x:v>38.96</x:v>
      </x:c>
      <x:c r="F66" s="2" t="str">
        <x:v>Linear Regression</x:v>
      </x:c>
      <x:c r="G66" s="2" t="str">
        <x:v>READY</x:v>
      </x:c>
      <x:c r="H66" s="17" t="str"/>
    </x:row>
    <x:row r="67" ht="24" customHeight="1">
      <x:c r="A67" s="2" t="str">
        <x:v>405</x:v>
      </x:c>
      <x:c r="B67" s="15" t="n">
        <x:v>851.921</x:v>
      </x:c>
      <x:c r="C67" s="15" t="n">
        <x:f>IF(AND(ISNUMBER(B67),ISNUMBER(D67)),ROUND(B67+D67,3),"")</x:f>
        <x:v>851.921</x:v>
      </x:c>
      <x:c r="D67" s="15" t="n">
        <x:v>0</x:v>
      </x:c>
      <x:c r="E67" s="16" t="n">
        <x:v>0</x:v>
      </x:c>
      <x:c r="F67" s="2" t="str">
        <x:v>Linear Regression</x:v>
      </x:c>
      <x:c r="G67" s="2" t="str">
        <x:v>READY</x:v>
      </x:c>
      <x:c r="H67" s="17" t="str"/>
    </x:row>
    <x:row r="68" ht="24" customHeight="1">
      <x:c r="A68" s="2" t="str">
        <x:v>406</x:v>
      </x:c>
      <x:c r="B68" s="15" t="n">
        <x:v>630.811</x:v>
      </x:c>
      <x:c r="C68" s="15" t="n">
        <x:f>IF(AND(ISNUMBER(B68),ISNUMBER(D68)),ROUND(B68+D68,3),"")</x:f>
        <x:v>640.67</x:v>
      </x:c>
      <x:c r="D68" s="15" t="n">
        <x:v>9.859</x:v>
      </x:c>
      <x:c r="E68" s="16" t="n">
        <x:v>226.76</x:v>
      </x:c>
      <x:c r="F68" s="2" t="str">
        <x:v>Stable Recent Months</x:v>
      </x:c>
      <x:c r="G68" s="2" t="str">
        <x:v>READY</x:v>
      </x:c>
      <x:c r="H68" s="17" t="str"/>
    </x:row>
    <x:row r="69" ht="24" customHeight="1">
      <x:c r="A69" s="2" t="str">
        <x:v>407</x:v>
      </x:c>
      <x:c r="B69" s="15" t="n">
        <x:v>1507.898</x:v>
      </x:c>
      <x:c r="C69" s="15" t="n">
        <x:f>IF(AND(ISNUMBER(B69),ISNUMBER(D69)),ROUND(B69+D69,3),"")</x:f>
        <x:v>1510.263</x:v>
      </x:c>
      <x:c r="D69" s="15" t="n">
        <x:v>2.365</x:v>
      </x:c>
      <x:c r="E69" s="16" t="n">
        <x:v>54.4</x:v>
      </x:c>
      <x:c r="F69" s="2" t="str">
        <x:v>Linear Regression</x:v>
      </x:c>
      <x:c r="G69" s="2" t="str">
        <x:v>READY</x:v>
      </x:c>
      <x:c r="H69" s="17" t="str"/>
    </x:row>
    <x:row r="70" ht="24" customHeight="1">
      <x:c r="A70" s="2" t="str">
        <x:v>408</x:v>
      </x:c>
      <x:c r="B70" s="15" t="n">
        <x:v>564.691</x:v>
      </x:c>
      <x:c r="C70" s="15" t="n">
        <x:f>IF(AND(ISNUMBER(B70),ISNUMBER(D70)),ROUND(B70+D70,3),"")</x:f>
        <x:v>571.143</x:v>
      </x:c>
      <x:c r="D70" s="15" t="n">
        <x:v>6.452</x:v>
      </x:c>
      <x:c r="E70" s="16" t="n">
        <x:v>148.4</x:v>
      </x:c>
      <x:c r="F70" s="2" t="str">
        <x:v>Linear Regression</x:v>
      </x:c>
      <x:c r="G70" s="2" t="str">
        <x:v>READY</x:v>
      </x:c>
      <x:c r="H70" s="17" t="str"/>
    </x:row>
    <x:row r="71" ht="24" customHeight="1">
      <x:c r="A71" s="2" t="str">
        <x:v>409</x:v>
      </x:c>
      <x:c r="B71" s="15" t="n">
        <x:v>689.416</x:v>
      </x:c>
      <x:c r="C71" s="15" t="n">
        <x:f>IF(AND(ISNUMBER(B71),ISNUMBER(D71)),ROUND(B71+D71,3),"")</x:f>
        <x:v>691.343</x:v>
      </x:c>
      <x:c r="D71" s="15" t="n">
        <x:v>1.927</x:v>
      </x:c>
      <x:c r="E71" s="16" t="n">
        <x:v>44.32</x:v>
      </x:c>
      <x:c r="F71" s="2" t="str">
        <x:v>Linear Regression</x:v>
      </x:c>
      <x:c r="G71" s="2" t="str">
        <x:v>READY</x:v>
      </x:c>
      <x:c r="H71" s="17" t="str"/>
    </x:row>
    <x:row r="72" ht="24" customHeight="1">
      <x:c r="A72" s="2" t="str">
        <x:v>410</x:v>
      </x:c>
      <x:c r="B72" s="15" t="n">
        <x:v>545.294</x:v>
      </x:c>
      <x:c r="C72" s="15" t="n">
        <x:f>IF(AND(ISNUMBER(B72),ISNUMBER(D72)),ROUND(B72+D72,3),"")</x:f>
        <x:v>547.329</x:v>
      </x:c>
      <x:c r="D72" s="15" t="n">
        <x:v>2.035</x:v>
      </x:c>
      <x:c r="E72" s="16" t="n">
        <x:v>46.81</x:v>
      </x:c>
      <x:c r="F72" s="2" t="str">
        <x:v>Linear Regression</x:v>
      </x:c>
      <x:c r="G72" s="2" t="str">
        <x:v>READY</x:v>
      </x:c>
      <x:c r="H72" s="17" t="str"/>
    </x:row>
    <x:row r="73" ht="24" customHeight="1">
      <x:c r="A73" s="2" t="str">
        <x:v>411</x:v>
      </x:c>
      <x:c r="B73" s="15" t="n">
        <x:v>666.67</x:v>
      </x:c>
      <x:c r="C73" s="15" t="n">
        <x:f>IF(AND(ISNUMBER(B73),ISNUMBER(D73)),ROUND(B73+D73,3),"")</x:f>
        <x:v>671.246</x:v>
      </x:c>
      <x:c r="D73" s="15" t="n">
        <x:v>4.576</x:v>
      </x:c>
      <x:c r="E73" s="16" t="n">
        <x:v>105.25</x:v>
      </x:c>
      <x:c r="F73" s="2" t="str">
        <x:v>Linear Regression</x:v>
      </x:c>
      <x:c r="G73" s="2" t="str">
        <x:v>READY</x:v>
      </x:c>
      <x:c r="H73" s="17" t="str"/>
    </x:row>
    <x:row r="74" ht="24" customHeight="1">
      <x:c r="A74" s="2" t="str">
        <x:v>412</x:v>
      </x:c>
      <x:c r="B74" s="15" t="n">
        <x:v>653.297</x:v>
      </x:c>
      <x:c r="C74" s="15" t="n">
        <x:f>IF(AND(ISNUMBER(B74),ISNUMBER(D74)),ROUND(B74+D74,3),"")</x:f>
        <x:v>659.355</x:v>
      </x:c>
      <x:c r="D74" s="15" t="n">
        <x:v>6.058</x:v>
      </x:c>
      <x:c r="E74" s="16" t="n">
        <x:v>139.33</x:v>
      </x:c>
      <x:c r="F74" s="2" t="str">
        <x:v>Stable Recent Months</x:v>
      </x:c>
      <x:c r="G74" s="2" t="str">
        <x:v>READY</x:v>
      </x:c>
      <x:c r="H74" s="17" t="str"/>
    </x:row>
    <x:row r="75" ht="24" customHeight="1">
      <x:c r="A75" s="2" t="str">
        <x:v>413</x:v>
      </x:c>
      <x:c r="B75" s="15" t="n">
        <x:v>880.951</x:v>
      </x:c>
      <x:c r="C75" s="15" t="str">
        <x:f>IF(AND(ISNUMBER(B75),ISNUMBER(D75)),ROUND(B75+D75,3),"")</x:f>
      </x:c>
      <x:c r="D75" s="15"/>
      <x:c r="E75" s="16"/>
      <x:c r="F75" s="2" t="str">
        <x:v>No forecast</x:v>
      </x:c>
      <x:c r="G75" s="2" t="str">
        <x:v>INSUFFICIENT_DATA</x:v>
      </x:c>
      <x:c r="H75" s="17" t="str">
        <x:v>At least 5 consecutive valid monthly readings are required.</x:v>
      </x:c>
    </x:row>
    <x:row r="76" ht="24" customHeight="1">
      <x:c r="A76" s="2" t="str">
        <x:v>414</x:v>
      </x:c>
      <x:c r="B76" s="15" t="n">
        <x:v>1361.907</x:v>
      </x:c>
      <x:c r="C76" s="15" t="n">
        <x:f>IF(AND(ISNUMBER(B76),ISNUMBER(D76)),ROUND(B76+D76,3),"")</x:f>
        <x:v>1375.717</x:v>
      </x:c>
      <x:c r="D76" s="15" t="n">
        <x:v>13.81</x:v>
      </x:c>
      <x:c r="E76" s="16" t="n">
        <x:v>317.63</x:v>
      </x:c>
      <x:c r="F76" s="2" t="str">
        <x:v>Stable Recent Months</x:v>
      </x:c>
      <x:c r="G76" s="2" t="str">
        <x:v>READY</x:v>
      </x:c>
      <x:c r="H76" s="17" t="str"/>
    </x:row>
    <x:row r="77" ht="24" customHeight="1">
      <x:c r="A77" s="2" t="str">
        <x:v>415</x:v>
      </x:c>
      <x:c r="B77" s="15" t="n">
        <x:v>1111.974</x:v>
      </x:c>
      <x:c r="C77" s="15" t="n">
        <x:f>IF(AND(ISNUMBER(B77),ISNUMBER(D77)),ROUND(B77+D77,3),"")</x:f>
        <x:v>1122.254</x:v>
      </x:c>
      <x:c r="D77" s="15" t="n">
        <x:v>10.28</x:v>
      </x:c>
      <x:c r="E77" s="16" t="n">
        <x:v>236.44</x:v>
      </x:c>
      <x:c r="F77" s="2" t="str">
        <x:v>Linear Regression</x:v>
      </x:c>
      <x:c r="G77" s="2" t="str">
        <x:v>READY</x:v>
      </x:c>
      <x:c r="H77" s="17" t="str"/>
    </x:row>
    <x:row r="78" ht="24" customHeight="1">
      <x:c r="A78" s="2" t="str">
        <x:v>416</x:v>
      </x:c>
      <x:c r="B78" s="15" t="n">
        <x:v>390.637</x:v>
      </x:c>
      <x:c r="C78" s="15" t="n">
        <x:f>IF(AND(ISNUMBER(B78),ISNUMBER(D78)),ROUND(B78+D78,3),"")</x:f>
        <x:v>391.291</x:v>
      </x:c>
      <x:c r="D78" s="15" t="n">
        <x:v>0.654</x:v>
      </x:c>
      <x:c r="E78" s="16" t="n">
        <x:v>15.04</x:v>
      </x:c>
      <x:c r="F78" s="2" t="str">
        <x:v>Linear Regression</x:v>
      </x:c>
      <x:c r="G78" s="2" t="str">
        <x:v>READY</x:v>
      </x:c>
      <x:c r="H78" s="17" t="str"/>
    </x:row>
    <x:row r="79" ht="24" customHeight="1">
      <x:c r="A79" s="2" t="str">
        <x:v>417</x:v>
      </x:c>
      <x:c r="B79" s="15" t="n">
        <x:v>418.481</x:v>
      </x:c>
      <x:c r="C79" s="15" t="n">
        <x:f>IF(AND(ISNUMBER(B79),ISNUMBER(D79)),ROUND(B79+D79,3),"")</x:f>
        <x:v>423.663</x:v>
      </x:c>
      <x:c r="D79" s="15" t="n">
        <x:v>5.182</x:v>
      </x:c>
      <x:c r="E79" s="16" t="n">
        <x:v>119.19</x:v>
      </x:c>
      <x:c r="F79" s="2" t="str">
        <x:v>Linear Regression</x:v>
      </x:c>
      <x:c r="G79" s="2" t="str">
        <x:v>READY</x:v>
      </x:c>
      <x:c r="H79" s="17" t="str"/>
    </x:row>
    <x:row r="80" ht="24" customHeight="1">
      <x:c r="A80" s="2" t="str">
        <x:v>418</x:v>
      </x:c>
      <x:c r="B80" s="15" t="n">
        <x:v>1167.651</x:v>
      </x:c>
      <x:c r="C80" s="15" t="n">
        <x:f>IF(AND(ISNUMBER(B80),ISNUMBER(D80)),ROUND(B80+D80,3),"")</x:f>
        <x:v>1170.25</x:v>
      </x:c>
      <x:c r="D80" s="15" t="n">
        <x:v>2.599</x:v>
      </x:c>
      <x:c r="E80" s="16" t="n">
        <x:v>59.78</x:v>
      </x:c>
      <x:c r="F80" s="2" t="str">
        <x:v>Linear Regression</x:v>
      </x:c>
      <x:c r="G80" s="2" t="str">
        <x:v>READY</x:v>
      </x:c>
      <x:c r="H80" s="17" t="str"/>
    </x:row>
    <x:row r="81" ht="24" customHeight="1">
      <x:c r="A81" s="2" t="str">
        <x:v>419</x:v>
      </x:c>
      <x:c r="B81" s="15" t="n">
        <x:v>245.2</x:v>
      </x:c>
      <x:c r="C81" s="15" t="n">
        <x:f>IF(AND(ISNUMBER(B81),ISNUMBER(D81)),ROUND(B81+D81,3),"")</x:f>
        <x:v>245.2</x:v>
      </x:c>
      <x:c r="D81" s="15" t="n">
        <x:v>0</x:v>
      </x:c>
      <x:c r="E81" s="16" t="n">
        <x:v>0</x:v>
      </x:c>
      <x:c r="F81" s="2" t="str">
        <x:v>Linear Regression</x:v>
      </x:c>
      <x:c r="G81" s="2" t="str">
        <x:v>READY</x:v>
      </x:c>
      <x:c r="H81" s="17" t="str"/>
    </x:row>
    <x:row r="82" ht="24" customHeight="1">
      <x:c r="A82" s="2" t="str">
        <x:v>420</x:v>
      </x:c>
      <x:c r="B82" s="15" t="n">
        <x:v>704.498</x:v>
      </x:c>
      <x:c r="C82" s="15" t="n">
        <x:f>IF(AND(ISNUMBER(B82),ISNUMBER(D82)),ROUND(B82+D82,3),"")</x:f>
        <x:v>709.594</x:v>
      </x:c>
      <x:c r="D82" s="15" t="n">
        <x:v>5.096</x:v>
      </x:c>
      <x:c r="E82" s="16" t="n">
        <x:v>117.21</x:v>
      </x:c>
      <x:c r="F82" s="2" t="str">
        <x:v>Stable Recent Months</x:v>
      </x:c>
      <x:c r="G82" s="2" t="str">
        <x:v>READY</x:v>
      </x:c>
      <x:c r="H82" s="17" t="str"/>
    </x:row>
    <x:row r="83" ht="24" customHeight="1">
      <x:c r="A83" s="2" t="str">
        <x:v>421</x:v>
      </x:c>
      <x:c r="B83" s="15" t="n">
        <x:v>1087.551</x:v>
      </x:c>
      <x:c r="C83" s="15" t="n">
        <x:f>IF(AND(ISNUMBER(B83),ISNUMBER(D83)),ROUND(B83+D83,3),"")</x:f>
        <x:v>1093.374</x:v>
      </x:c>
      <x:c r="D83" s="15" t="n">
        <x:v>5.823</x:v>
      </x:c>
      <x:c r="E83" s="16" t="n">
        <x:v>133.93</x:v>
      </x:c>
      <x:c r="F83" s="2" t="str">
        <x:v>Linear Regression</x:v>
      </x:c>
      <x:c r="G83" s="2" t="str">
        <x:v>READY</x:v>
      </x:c>
      <x:c r="H83" s="17" t="str"/>
    </x:row>
    <x:row r="84" ht="24" customHeight="1">
      <x:c r="A84" s="2" t="str">
        <x:v>422</x:v>
      </x:c>
      <x:c r="B84" s="15" t="n">
        <x:v>940.08</x:v>
      </x:c>
      <x:c r="C84" s="15" t="n">
        <x:f>IF(AND(ISNUMBER(B84),ISNUMBER(D84)),ROUND(B84+D84,3),"")</x:f>
        <x:v>944.305</x:v>
      </x:c>
      <x:c r="D84" s="15" t="n">
        <x:v>4.225</x:v>
      </x:c>
      <x:c r="E84" s="16" t="n">
        <x:v>97.17</x:v>
      </x:c>
      <x:c r="F84" s="2" t="str">
        <x:v>Stable Recent Months</x:v>
      </x:c>
      <x:c r="G84" s="2" t="str">
        <x:v>READY</x:v>
      </x:c>
      <x:c r="H84" s="17" t="str"/>
    </x:row>
    <x:row r="85" ht="24" customHeight="1">
      <x:c r="A85" s="2" t="str">
        <x:v>423</x:v>
      </x:c>
      <x:c r="B85" s="15" t="n">
        <x:v>929.94</x:v>
      </x:c>
      <x:c r="C85" s="15" t="n">
        <x:f>IF(AND(ISNUMBER(B85),ISNUMBER(D85)),ROUND(B85+D85,3),"")</x:f>
        <x:v>937.11</x:v>
      </x:c>
      <x:c r="D85" s="15" t="n">
        <x:v>7.17</x:v>
      </x:c>
      <x:c r="E85" s="16" t="n">
        <x:v>164.91</x:v>
      </x:c>
      <x:c r="F85" s="2" t="str">
        <x:v>Linear Regression</x:v>
      </x:c>
      <x:c r="G85" s="2" t="str">
        <x:v>READY</x:v>
      </x:c>
      <x:c r="H85" s="17" t="str"/>
    </x:row>
    <x:row r="86" ht="24" customHeight="1">
      <x:c r="A86" s="2" t="str">
        <x:v>424</x:v>
      </x:c>
      <x:c r="B86" s="15" t="n">
        <x:v>1186.392</x:v>
      </x:c>
      <x:c r="C86" s="15" t="n">
        <x:f>IF(AND(ISNUMBER(B86),ISNUMBER(D86)),ROUND(B86+D86,3),"")</x:f>
        <x:v>1194.645</x:v>
      </x:c>
      <x:c r="D86" s="15" t="n">
        <x:v>8.253</x:v>
      </x:c>
      <x:c r="E86" s="16" t="n">
        <x:v>189.82</x:v>
      </x:c>
      <x:c r="F86" s="2" t="str">
        <x:v>Stable Recent Months</x:v>
      </x:c>
      <x:c r="G86" s="2" t="str">
        <x:v>READY</x:v>
      </x:c>
      <x:c r="H86" s="17" t="str"/>
    </x:row>
    <x:row r="87" ht="24" customHeight="1">
      <x:c r="A87" s="2" t="str">
        <x:v>425</x:v>
      </x:c>
      <x:c r="B87" s="15" t="n">
        <x:v>698.224</x:v>
      </x:c>
      <x:c r="C87" s="15" t="n">
        <x:f>IF(AND(ISNUMBER(B87),ISNUMBER(D87)),ROUND(B87+D87,3),"")</x:f>
        <x:v>710.151</x:v>
      </x:c>
      <x:c r="D87" s="15" t="n">
        <x:v>11.927</x:v>
      </x:c>
      <x:c r="E87" s="16" t="n">
        <x:v>274.32</x:v>
      </x:c>
      <x:c r="F87" s="2" t="str">
        <x:v>Linear Regression</x:v>
      </x:c>
      <x:c r="G87" s="2" t="str">
        <x:v>READY</x:v>
      </x:c>
      <x:c r="H87" s="17" t="str"/>
    </x:row>
    <x:row r="88" ht="24" customHeight="1">
      <x:c r="A88" s="2" t="str">
        <x:v>426</x:v>
      </x:c>
      <x:c r="B88" s="15" t="n">
        <x:v>1072.711</x:v>
      </x:c>
      <x:c r="C88" s="15" t="n">
        <x:f>IF(AND(ISNUMBER(B88),ISNUMBER(D88)),ROUND(B88+D88,3),"")</x:f>
        <x:v>1088.538</x:v>
      </x:c>
      <x:c r="D88" s="15" t="n">
        <x:v>15.827</x:v>
      </x:c>
      <x:c r="E88" s="16" t="n">
        <x:v>364.02</x:v>
      </x:c>
      <x:c r="F88" s="2" t="str">
        <x:v>Linear Regression</x:v>
      </x:c>
      <x:c r="G88" s="2" t="str">
        <x:v>READY</x:v>
      </x:c>
      <x:c r="H88" s="17" t="str"/>
    </x:row>
    <x:row r="89" ht="24" customHeight="1">
      <x:c r="A89" s="2" t="str">
        <x:v>427</x:v>
      </x:c>
      <x:c r="B89" s="15" t="n">
        <x:v>923.987</x:v>
      </x:c>
      <x:c r="C89" s="15" t="n">
        <x:f>IF(AND(ISNUMBER(B89),ISNUMBER(D89)),ROUND(B89+D89,3),"")</x:f>
        <x:v>926.56</x:v>
      </x:c>
      <x:c r="D89" s="15" t="n">
        <x:v>2.573</x:v>
      </x:c>
      <x:c r="E89" s="16" t="n">
        <x:v>59.18</x:v>
      </x:c>
      <x:c r="F89" s="2" t="str">
        <x:v>Linear Regression</x:v>
      </x:c>
      <x:c r="G89" s="2" t="str">
        <x:v>READY</x:v>
      </x:c>
      <x:c r="H89" s="17" t="str"/>
    </x:row>
    <x:row r="90" ht="24" customHeight="1">
      <x:c r="A90" s="2" t="str">
        <x:v>428</x:v>
      </x:c>
      <x:c r="B90" s="15" t="n">
        <x:v>273.9</x:v>
      </x:c>
      <x:c r="C90" s="15" t="n">
        <x:f>IF(AND(ISNUMBER(B90),ISNUMBER(D90)),ROUND(B90+D90,3),"")</x:f>
        <x:v>273.9</x:v>
      </x:c>
      <x:c r="D90" s="15" t="n">
        <x:v>0</x:v>
      </x:c>
      <x:c r="E90" s="16" t="n">
        <x:v>0</x:v>
      </x:c>
      <x:c r="F90" s="2" t="str">
        <x:v>Linear Regression</x:v>
      </x:c>
      <x:c r="G90" s="2" t="str">
        <x:v>READY</x:v>
      </x:c>
      <x:c r="H90" s="17" t="str"/>
    </x:row>
    <x:row r="91" ht="24" customHeight="1">
      <x:c r="A91" s="2" t="str">
        <x:v>429</x:v>
      </x:c>
      <x:c r="B91" s="15" t="n">
        <x:v>280.845</x:v>
      </x:c>
      <x:c r="C91" s="15" t="n">
        <x:f>IF(AND(ISNUMBER(B91),ISNUMBER(D91)),ROUND(B91+D91,3),"")</x:f>
        <x:v>282.757</x:v>
      </x:c>
      <x:c r="D91" s="15" t="n">
        <x:v>1.912</x:v>
      </x:c>
      <x:c r="E91" s="16" t="n">
        <x:v>43.98</x:v>
      </x:c>
      <x:c r="F91" s="2" t="str">
        <x:v>Linear Regression</x:v>
      </x:c>
      <x:c r="G91" s="2" t="str">
        <x:v>READY</x:v>
      </x:c>
      <x:c r="H91" s="17" t="str"/>
    </x:row>
    <x:row r="92" ht="24" customHeight="1">
      <x:c r="A92" s="2" t="str">
        <x:v>430</x:v>
      </x:c>
      <x:c r="B92" s="15" t="n">
        <x:v>986.351</x:v>
      </x:c>
      <x:c r="C92" s="15" t="n">
        <x:f>IF(AND(ISNUMBER(B92),ISNUMBER(D92)),ROUND(B92+D92,3),"")</x:f>
        <x:v>993.275</x:v>
      </x:c>
      <x:c r="D92" s="15" t="n">
        <x:v>6.924</x:v>
      </x:c>
      <x:c r="E92" s="16" t="n">
        <x:v>159.25</x:v>
      </x:c>
      <x:c r="F92" s="2" t="str">
        <x:v>Linear Regression</x:v>
      </x:c>
      <x:c r="G92" s="2" t="str">
        <x:v>READY</x:v>
      </x:c>
      <x:c r="H92" s="17" t="str"/>
    </x:row>
    <x:row r="93" ht="24" customHeight="1">
      <x:c r="A93" s="2" t="str">
        <x:v>431</x:v>
      </x:c>
      <x:c r="B93" s="15" t="n">
        <x:v>942.603</x:v>
      </x:c>
      <x:c r="C93" s="15" t="n">
        <x:f>IF(AND(ISNUMBER(B93),ISNUMBER(D93)),ROUND(B93+D93,3),"")</x:f>
        <x:v>947.445</x:v>
      </x:c>
      <x:c r="D93" s="15" t="n">
        <x:v>4.842</x:v>
      </x:c>
      <x:c r="E93" s="16" t="n">
        <x:v>111.37</x:v>
      </x:c>
      <x:c r="F93" s="2" t="str">
        <x:v>Stable Recent Months</x:v>
      </x:c>
      <x:c r="G93" s="2" t="str">
        <x:v>READY</x:v>
      </x:c>
      <x:c r="H93" s="17" t="str"/>
    </x:row>
    <x:row r="94" ht="24" customHeight="1">
      <x:c r="A94" s="2" t="str">
        <x:v>432</x:v>
      </x:c>
      <x:c r="B94" s="15" t="n">
        <x:v>186.17</x:v>
      </x:c>
      <x:c r="C94" s="15" t="n">
        <x:f>IF(AND(ISNUMBER(B94),ISNUMBER(D94)),ROUND(B94+D94,3),"")</x:f>
        <x:v>202.422</x:v>
      </x:c>
      <x:c r="D94" s="15" t="n">
        <x:v>16.252</x:v>
      </x:c>
      <x:c r="E94" s="16" t="n">
        <x:v>373.8</x:v>
      </x:c>
      <x:c r="F94" s="2" t="str">
        <x:v>Stable Recent Months</x:v>
      </x:c>
      <x:c r="G94" s="2" t="str">
        <x:v>READY</x:v>
      </x:c>
      <x:c r="H94" s="17" t="str"/>
    </x:row>
    <x:row r="95" ht="24" customHeight="1">
      <x:c r="A95" s="2" t="str">
        <x:v>433</x:v>
      </x:c>
      <x:c r="B95" s="15" t="n">
        <x:v>929.416</x:v>
      </x:c>
      <x:c r="C95" s="15" t="n">
        <x:f>IF(AND(ISNUMBER(B95),ISNUMBER(D95)),ROUND(B95+D95,3),"")</x:f>
        <x:v>932.98</x:v>
      </x:c>
      <x:c r="D95" s="15" t="n">
        <x:v>3.564</x:v>
      </x:c>
      <x:c r="E95" s="16" t="n">
        <x:v>81.97</x:v>
      </x:c>
      <x:c r="F95" s="2" t="str">
        <x:v>Linear Regression</x:v>
      </x:c>
      <x:c r="G95" s="2" t="str">
        <x:v>READY</x:v>
      </x:c>
      <x:c r="H95" s="17" t="str"/>
    </x:row>
    <x:row r="96" ht="24" customHeight="1">
      <x:c r="A96" s="2" t="str">
        <x:v>434</x:v>
      </x:c>
      <x:c r="B96" s="15" t="n">
        <x:v>1197.061</x:v>
      </x:c>
      <x:c r="C96" s="15" t="n">
        <x:f>IF(AND(ISNUMBER(B96),ISNUMBER(D96)),ROUND(B96+D96,3),"")</x:f>
        <x:v>1205.549</x:v>
      </x:c>
      <x:c r="D96" s="15" t="n">
        <x:v>8.488</x:v>
      </x:c>
      <x:c r="E96" s="16" t="n">
        <x:v>195.22</x:v>
      </x:c>
      <x:c r="F96" s="2" t="str">
        <x:v>Linear Regression</x:v>
      </x:c>
      <x:c r="G96" s="2" t="str">
        <x:v>READY</x:v>
      </x:c>
      <x:c r="H96" s="17" t="str"/>
    </x:row>
    <x:row r="97" ht="24" customHeight="1">
      <x:c r="A97" s="2" t="str">
        <x:v>435</x:v>
      </x:c>
      <x:c r="B97" s="15" t="n">
        <x:v>552.165</x:v>
      </x:c>
      <x:c r="C97" s="15" t="n">
        <x:f>IF(AND(ISNUMBER(B97),ISNUMBER(D97)),ROUND(B97+D97,3),"")</x:f>
        <x:v>555.881</x:v>
      </x:c>
      <x:c r="D97" s="15" t="n">
        <x:v>3.716</x:v>
      </x:c>
      <x:c r="E97" s="16" t="n">
        <x:v>85.47</x:v>
      </x:c>
      <x:c r="F97" s="2" t="str">
        <x:v>Linear Regression</x:v>
      </x:c>
      <x:c r="G97" s="2" t="str">
        <x:v>READY</x:v>
      </x:c>
      <x:c r="H97" s="17" t="str"/>
    </x:row>
    <x:row r="98" ht="24" customHeight="1">
      <x:c r="A98" s="2" t="str">
        <x:v>436</x:v>
      </x:c>
      <x:c r="B98" s="15" t="n">
        <x:v>714.816</x:v>
      </x:c>
      <x:c r="C98" s="15" t="n">
        <x:f>IF(AND(ISNUMBER(B98),ISNUMBER(D98)),ROUND(B98+D98,3),"")</x:f>
        <x:v>718.553</x:v>
      </x:c>
      <x:c r="D98" s="15" t="n">
        <x:v>3.737</x:v>
      </x:c>
      <x:c r="E98" s="16" t="n">
        <x:v>85.95</x:v>
      </x:c>
      <x:c r="F98" s="2" t="str">
        <x:v>Linear Regression</x:v>
      </x:c>
      <x:c r="G98" s="2" t="str">
        <x:v>READY</x:v>
      </x:c>
      <x:c r="H98" s="17" t="str"/>
    </x:row>
    <x:row r="99" ht="24" customHeight="1">
      <x:c r="A99" s="2" t="str">
        <x:v>437</x:v>
      </x:c>
      <x:c r="B99" s="15" t="n">
        <x:v>1139.954</x:v>
      </x:c>
      <x:c r="C99" s="15" t="n">
        <x:f>IF(AND(ISNUMBER(B99),ISNUMBER(D99)),ROUND(B99+D99,3),"")</x:f>
        <x:v>1156.035</x:v>
      </x:c>
      <x:c r="D99" s="15" t="n">
        <x:v>16.081</x:v>
      </x:c>
      <x:c r="E99" s="16" t="n">
        <x:v>369.86</x:v>
      </x:c>
      <x:c r="F99" s="2" t="str">
        <x:v>Stable Recent Months</x:v>
      </x:c>
      <x:c r="G99" s="2" t="str">
        <x:v>READY</x:v>
      </x:c>
      <x:c r="H99" s="17" t="str"/>
    </x:row>
    <x:row r="100" ht="24" customHeight="1">
      <x:c r="A100" s="2" t="str">
        <x:v>438</x:v>
      </x:c>
      <x:c r="B100" s="15" t="n">
        <x:v>220.361</x:v>
      </x:c>
      <x:c r="C100" s="15" t="n">
        <x:f>IF(AND(ISNUMBER(B100),ISNUMBER(D100)),ROUND(B100+D100,3),"")</x:f>
        <x:v>220.97</x:v>
      </x:c>
      <x:c r="D100" s="15" t="n">
        <x:v>0.609</x:v>
      </x:c>
      <x:c r="E100" s="16" t="n">
        <x:v>14.01</x:v>
      </x:c>
      <x:c r="F100" s="2" t="str">
        <x:v>Stable Recent Months</x:v>
      </x:c>
      <x:c r="G100" s="2" t="str">
        <x:v>READY</x:v>
      </x:c>
      <x:c r="H100" s="17" t="str"/>
    </x:row>
    <x:row r="101" ht="24" customHeight="1">
      <x:c r="A101" s="2" t="str">
        <x:v>439</x:v>
      </x:c>
      <x:c r="B101" s="15" t="n">
        <x:v>951.501</x:v>
      </x:c>
      <x:c r="C101" s="15" t="n">
        <x:f>IF(AND(ISNUMBER(B101),ISNUMBER(D101)),ROUND(B101+D101,3),"")</x:f>
        <x:v>960.49</x:v>
      </x:c>
      <x:c r="D101" s="15" t="n">
        <x:v>8.989</x:v>
      </x:c>
      <x:c r="E101" s="16" t="n">
        <x:v>206.75</x:v>
      </x:c>
      <x:c r="F101" s="2" t="str">
        <x:v>Stable Recent Months</x:v>
      </x:c>
      <x:c r="G101" s="2" t="str">
        <x:v>READY</x:v>
      </x:c>
      <x:c r="H101" s="17" t="str"/>
    </x:row>
    <x:row r="102" ht="24" customHeight="1">
      <x:c r="A102" s="2" t="str">
        <x:v>440</x:v>
      </x:c>
      <x:c r="B102" s="15" t="n">
        <x:v>368.987</x:v>
      </x:c>
      <x:c r="C102" s="15" t="n">
        <x:f>IF(AND(ISNUMBER(B102),ISNUMBER(D102)),ROUND(B102+D102,3),"")</x:f>
        <x:v>390.906</x:v>
      </x:c>
      <x:c r="D102" s="15" t="n">
        <x:v>21.919</x:v>
      </x:c>
      <x:c r="E102" s="16" t="n">
        <x:v>504.14</x:v>
      </x:c>
      <x:c r="F102" s="2" t="str">
        <x:v>Stable Recent Months</x:v>
      </x:c>
      <x:c r="G102" s="2" t="str">
        <x:v>READY</x:v>
      </x:c>
      <x:c r="H102" s="17" t="str"/>
    </x:row>
    <x:row r="103" ht="24" customHeight="1">
      <x:c r="A103" s="2" t="str">
        <x:v>441</x:v>
      </x:c>
      <x:c r="B103" s="15" t="n">
        <x:v>462.034</x:v>
      </x:c>
      <x:c r="C103" s="15" t="n">
        <x:f>IF(AND(ISNUMBER(B103),ISNUMBER(D103)),ROUND(B103+D103,3),"")</x:f>
        <x:v>463.754</x:v>
      </x:c>
      <x:c r="D103" s="15" t="n">
        <x:v>1.72</x:v>
      </x:c>
      <x:c r="E103" s="16" t="n">
        <x:v>39.56</x:v>
      </x:c>
      <x:c r="F103" s="2" t="str">
        <x:v>Linear Regression</x:v>
      </x:c>
      <x:c r="G103" s="2" t="str">
        <x:v>READY</x:v>
      </x:c>
      <x:c r="H103" s="17" t="str"/>
    </x:row>
    <x:row r="104" ht="24" customHeight="1">
      <x:c r="A104" s="2" t="str">
        <x:v>442</x:v>
      </x:c>
      <x:c r="B104" s="15" t="n">
        <x:v>1073.72</x:v>
      </x:c>
      <x:c r="C104" s="15" t="n">
        <x:f>IF(AND(ISNUMBER(B104),ISNUMBER(D104)),ROUND(B104+D104,3),"")</x:f>
        <x:v>1080.564</x:v>
      </x:c>
      <x:c r="D104" s="15" t="n">
        <x:v>6.844</x:v>
      </x:c>
      <x:c r="E104" s="16" t="n">
        <x:v>157.41</x:v>
      </x:c>
      <x:c r="F104" s="2" t="str">
        <x:v>Linear Regression</x:v>
      </x:c>
      <x:c r="G104" s="2" t="str">
        <x:v>READY</x:v>
      </x:c>
      <x:c r="H104" s="17" t="str"/>
    </x:row>
    <x:row r="105" ht="24" customHeight="1">
      <x:c r="A105" s="2" t="str">
        <x:v>443</x:v>
      </x:c>
      <x:c r="B105" s="15" t="n">
        <x:v>235.454</x:v>
      </x:c>
      <x:c r="C105" s="15" t="n">
        <x:f>IF(AND(ISNUMBER(B105),ISNUMBER(D105)),ROUND(B105+D105,3),"")</x:f>
        <x:v>237.49</x:v>
      </x:c>
      <x:c r="D105" s="15" t="n">
        <x:v>2.036</x:v>
      </x:c>
      <x:c r="E105" s="16" t="n">
        <x:v>46.83</x:v>
      </x:c>
      <x:c r="F105" s="2" t="str">
        <x:v>Linear Regression</x:v>
      </x:c>
      <x:c r="G105" s="2" t="str">
        <x:v>READY</x:v>
      </x:c>
      <x:c r="H105" s="17" t="str"/>
    </x:row>
    <x:row r="106" ht="24" customHeight="1">
      <x:c r="A106" s="2" t="str">
        <x:v>501</x:v>
      </x:c>
      <x:c r="B106" s="15" t="n">
        <x:v>1145.454</x:v>
      </x:c>
      <x:c r="C106" s="15" t="n">
        <x:f>IF(AND(ISNUMBER(B106),ISNUMBER(D106)),ROUND(B106+D106,3),"")</x:f>
        <x:v>1146.255</x:v>
      </x:c>
      <x:c r="D106" s="15" t="n">
        <x:v>0.801</x:v>
      </x:c>
      <x:c r="E106" s="16" t="n">
        <x:v>18.42</x:v>
      </x:c>
      <x:c r="F106" s="2" t="str">
        <x:v>Linear Regression</x:v>
      </x:c>
      <x:c r="G106" s="2" t="str">
        <x:v>READY</x:v>
      </x:c>
      <x:c r="H106" s="17" t="str"/>
    </x:row>
    <x:row r="107" ht="24" customHeight="1">
      <x:c r="A107" s="2" t="str">
        <x:v>502</x:v>
      </x:c>
      <x:c r="B107" s="15" t="n">
        <x:v>624.028</x:v>
      </x:c>
      <x:c r="C107" s="15" t="n">
        <x:f>IF(AND(ISNUMBER(B107),ISNUMBER(D107)),ROUND(B107+D107,3),"")</x:f>
        <x:v>630.59</x:v>
      </x:c>
      <x:c r="D107" s="15" t="n">
        <x:v>6.562</x:v>
      </x:c>
      <x:c r="E107" s="16" t="n">
        <x:v>150.93</x:v>
      </x:c>
      <x:c r="F107" s="2" t="str">
        <x:v>Stable Recent Months</x:v>
      </x:c>
      <x:c r="G107" s="2" t="str">
        <x:v>READY</x:v>
      </x:c>
      <x:c r="H107" s="17" t="str"/>
    </x:row>
    <x:row r="108" ht="24" customHeight="1">
      <x:c r="A108" s="2" t="str">
        <x:v>503</x:v>
      </x:c>
      <x:c r="B108" s="15" t="n">
        <x:v>277.022</x:v>
      </x:c>
      <x:c r="C108" s="15" t="n">
        <x:f>IF(AND(ISNUMBER(B108),ISNUMBER(D108)),ROUND(B108+D108,3),"")</x:f>
        <x:v>295.035</x:v>
      </x:c>
      <x:c r="D108" s="15" t="n">
        <x:v>18.013</x:v>
      </x:c>
      <x:c r="E108" s="16" t="n">
        <x:v>414.3</x:v>
      </x:c>
      <x:c r="F108" s="2" t="str">
        <x:v>Stable Recent Months</x:v>
      </x:c>
      <x:c r="G108" s="2" t="str">
        <x:v>READY</x:v>
      </x:c>
      <x:c r="H108" s="17" t="str"/>
    </x:row>
    <x:row r="109" ht="24" customHeight="1">
      <x:c r="A109" s="2" t="str">
        <x:v>504</x:v>
      </x:c>
      <x:c r="B109" s="15" t="n">
        <x:v>668.609</x:v>
      </x:c>
      <x:c r="C109" s="15" t="n">
        <x:f>IF(AND(ISNUMBER(B109),ISNUMBER(D109)),ROUND(B109+D109,3),"")</x:f>
        <x:v>671.555</x:v>
      </x:c>
      <x:c r="D109" s="15" t="n">
        <x:v>2.946</x:v>
      </x:c>
      <x:c r="E109" s="16" t="n">
        <x:v>67.76</x:v>
      </x:c>
      <x:c r="F109" s="2" t="str">
        <x:v>Linear Regression</x:v>
      </x:c>
      <x:c r="G109" s="2" t="str">
        <x:v>READY</x:v>
      </x:c>
      <x:c r="H109" s="17" t="str"/>
    </x:row>
    <x:row r="110" ht="24" customHeight="1">
      <x:c r="A110" s="2" t="str">
        <x:v>505</x:v>
      </x:c>
      <x:c r="B110" s="15" t="n">
        <x:v>748.374</x:v>
      </x:c>
      <x:c r="C110" s="15" t="n">
        <x:f>IF(AND(ISNUMBER(B110),ISNUMBER(D110)),ROUND(B110+D110,3),"")</x:f>
        <x:v>748.539</x:v>
      </x:c>
      <x:c r="D110" s="15" t="n">
        <x:v>0.165</x:v>
      </x:c>
      <x:c r="E110" s="16" t="n">
        <x:v>3.8</x:v>
      </x:c>
      <x:c r="F110" s="2" t="str">
        <x:v>Linear Regression</x:v>
      </x:c>
      <x:c r="G110" s="2" t="str">
        <x:v>READY</x:v>
      </x:c>
      <x:c r="H110" s="17" t="str"/>
    </x:row>
    <x:row r="111" ht="24" customHeight="1">
      <x:c r="A111" s="2" t="str">
        <x:v>506</x:v>
      </x:c>
      <x:c r="B111" s="15" t="n">
        <x:v>738.167</x:v>
      </x:c>
      <x:c r="C111" s="15" t="n">
        <x:f>IF(AND(ISNUMBER(B111),ISNUMBER(D111)),ROUND(B111+D111,3),"")</x:f>
        <x:v>738.222</x:v>
      </x:c>
      <x:c r="D111" s="15" t="n">
        <x:v>0.055</x:v>
      </x:c>
      <x:c r="E111" s="16" t="n">
        <x:v>1.26</x:v>
      </x:c>
      <x:c r="F111" s="2" t="str">
        <x:v>Stable Recent Months</x:v>
      </x:c>
      <x:c r="G111" s="2" t="str">
        <x:v>READY</x:v>
      </x:c>
      <x:c r="H111" s="17" t="str"/>
    </x:row>
    <x:row r="112" ht="24" customHeight="1">
      <x:c r="A112" s="2" t="str">
        <x:v>507</x:v>
      </x:c>
      <x:c r="B112" s="15" t="n">
        <x:v>930.592</x:v>
      </x:c>
      <x:c r="C112" s="15" t="n">
        <x:f>IF(AND(ISNUMBER(B112),ISNUMBER(D112)),ROUND(B112+D112,3),"")</x:f>
        <x:v>938.242</x:v>
      </x:c>
      <x:c r="D112" s="15" t="n">
        <x:v>7.65</x:v>
      </x:c>
      <x:c r="E112" s="16" t="n">
        <x:v>175.95</x:v>
      </x:c>
      <x:c r="F112" s="2" t="str">
        <x:v>Linear Regression</x:v>
      </x:c>
      <x:c r="G112" s="2" t="str">
        <x:v>READY</x:v>
      </x:c>
      <x:c r="H112" s="17" t="str"/>
    </x:row>
    <x:row r="113" ht="24" customHeight="1">
      <x:c r="A113" s="2" t="str">
        <x:v>508</x:v>
      </x:c>
      <x:c r="B113" s="15" t="n">
        <x:v>529.672</x:v>
      </x:c>
      <x:c r="C113" s="15" t="n">
        <x:f>IF(AND(ISNUMBER(B113),ISNUMBER(D113)),ROUND(B113+D113,3),"")</x:f>
        <x:v>540.886</x:v>
      </x:c>
      <x:c r="D113" s="15" t="n">
        <x:v>11.214</x:v>
      </x:c>
      <x:c r="E113" s="16" t="n">
        <x:v>257.92</x:v>
      </x:c>
      <x:c r="F113" s="2" t="str">
        <x:v>Stable Recent Months</x:v>
      </x:c>
      <x:c r="G113" s="2" t="str">
        <x:v>READY</x:v>
      </x:c>
      <x:c r="H113" s="17" t="str"/>
    </x:row>
    <x:row r="114" ht="24" customHeight="1">
      <x:c r="A114" s="2" t="str">
        <x:v>509</x:v>
      </x:c>
      <x:c r="B114" s="15" t="n">
        <x:v>651.615</x:v>
      </x:c>
      <x:c r="C114" s="15" t="n">
        <x:f>IF(AND(ISNUMBER(B114),ISNUMBER(D114)),ROUND(B114+D114,3),"")</x:f>
        <x:v>655.57</x:v>
      </x:c>
      <x:c r="D114" s="15" t="n">
        <x:v>3.955</x:v>
      </x:c>
      <x:c r="E114" s="16" t="n">
        <x:v>90.97</x:v>
      </x:c>
      <x:c r="F114" s="2" t="str">
        <x:v>Stable Recent Months</x:v>
      </x:c>
      <x:c r="G114" s="2" t="str">
        <x:v>READY</x:v>
      </x:c>
      <x:c r="H114" s="17" t="str"/>
    </x:row>
    <x:row r="115" ht="24" customHeight="1">
      <x:c r="A115" s="2" t="str">
        <x:v>510</x:v>
      </x:c>
      <x:c r="B115" s="15" t="n">
        <x:v>640.2</x:v>
      </x:c>
      <x:c r="C115" s="15" t="n">
        <x:f>IF(AND(ISNUMBER(B115),ISNUMBER(D115)),ROUND(B115+D115,3),"")</x:f>
        <x:v>648.789</x:v>
      </x:c>
      <x:c r="D115" s="15" t="n">
        <x:v>8.589</x:v>
      </x:c>
      <x:c r="E115" s="16" t="n">
        <x:v>197.55</x:v>
      </x:c>
      <x:c r="F115" s="2" t="str">
        <x:v>Linear Regression</x:v>
      </x:c>
      <x:c r="G115" s="2" t="str">
        <x:v>READY</x:v>
      </x:c>
      <x:c r="H115" s="17" t="str"/>
    </x:row>
    <x:row r="116" ht="24" customHeight="1">
      <x:c r="A116" s="2" t="str">
        <x:v>511</x:v>
      </x:c>
      <x:c r="B116" s="15" t="n">
        <x:v>1044.778</x:v>
      </x:c>
      <x:c r="C116" s="15" t="n">
        <x:f>IF(AND(ISNUMBER(B116),ISNUMBER(D116)),ROUND(B116+D116,3),"")</x:f>
        <x:v>1045.877</x:v>
      </x:c>
      <x:c r="D116" s="15" t="n">
        <x:v>1.099</x:v>
      </x:c>
      <x:c r="E116" s="16" t="n">
        <x:v>25.28</x:v>
      </x:c>
      <x:c r="F116" s="2" t="str">
        <x:v>Linear Regression</x:v>
      </x:c>
      <x:c r="G116" s="2" t="str">
        <x:v>READY</x:v>
      </x:c>
      <x:c r="H116" s="17" t="str"/>
    </x:row>
    <x:row r="117" ht="24" customHeight="1">
      <x:c r="A117" s="2" t="str">
        <x:v>512</x:v>
      </x:c>
      <x:c r="B117" s="15" t="n">
        <x:v>1567.188</x:v>
      </x:c>
      <x:c r="C117" s="15" t="n">
        <x:f>IF(AND(ISNUMBER(B117),ISNUMBER(D117)),ROUND(B117+D117,3),"")</x:f>
        <x:v>1573.296</x:v>
      </x:c>
      <x:c r="D117" s="15" t="n">
        <x:v>6.108</x:v>
      </x:c>
      <x:c r="E117" s="16" t="n">
        <x:v>140.48</x:v>
      </x:c>
      <x:c r="F117" s="2" t="str">
        <x:v>Linear Regression</x:v>
      </x:c>
      <x:c r="G117" s="2" t="str">
        <x:v>READY</x:v>
      </x:c>
      <x:c r="H117" s="17" t="str"/>
    </x:row>
    <x:row r="118" ht="24" customHeight="1">
      <x:c r="A118" s="2" t="str">
        <x:v>513</x:v>
      </x:c>
      <x:c r="B118" s="15" t="n">
        <x:v>633.263</x:v>
      </x:c>
      <x:c r="C118" s="15" t="n">
        <x:f>IF(AND(ISNUMBER(B118),ISNUMBER(D118)),ROUND(B118+D118,3),"")</x:f>
        <x:v>644.692</x:v>
      </x:c>
      <x:c r="D118" s="15" t="n">
        <x:v>11.429</x:v>
      </x:c>
      <x:c r="E118" s="16" t="n">
        <x:v>262.87</x:v>
      </x:c>
      <x:c r="F118" s="2" t="str">
        <x:v>Linear Regression</x:v>
      </x:c>
      <x:c r="G118" s="2" t="str">
        <x:v>READY</x:v>
      </x:c>
      <x:c r="H118" s="17" t="str"/>
    </x:row>
    <x:row r="119" ht="24" customHeight="1">
      <x:c r="A119" s="2" t="str">
        <x:v>514</x:v>
      </x:c>
      <x:c r="B119" s="15" t="n">
        <x:v>1201.6</x:v>
      </x:c>
      <x:c r="C119" s="15" t="n">
        <x:f>IF(AND(ISNUMBER(B119),ISNUMBER(D119)),ROUND(B119+D119,3),"")</x:f>
        <x:v>1217.561</x:v>
      </x:c>
      <x:c r="D119" s="15" t="n">
        <x:v>15.961</x:v>
      </x:c>
      <x:c r="E119" s="16" t="n">
        <x:v>367.1</x:v>
      </x:c>
      <x:c r="F119" s="2" t="str">
        <x:v>Linear Regression</x:v>
      </x:c>
      <x:c r="G119" s="2" t="str">
        <x:v>READY</x:v>
      </x:c>
      <x:c r="H119" s="17" t="str"/>
    </x:row>
    <x:row r="120" ht="24" customHeight="1">
      <x:c r="A120" s="2" t="str">
        <x:v>515</x:v>
      </x:c>
      <x:c r="B120" s="15" t="n">
        <x:v>197.065</x:v>
      </x:c>
      <x:c r="C120" s="15" t="n">
        <x:f>IF(AND(ISNUMBER(B120),ISNUMBER(D120)),ROUND(B120+D120,3),"")</x:f>
        <x:v>199.819</x:v>
      </x:c>
      <x:c r="D120" s="15" t="n">
        <x:v>2.754</x:v>
      </x:c>
      <x:c r="E120" s="16" t="n">
        <x:v>63.34</x:v>
      </x:c>
      <x:c r="F120" s="2" t="str">
        <x:v>Stable Recent Months</x:v>
      </x:c>
      <x:c r="G120" s="2" t="str">
        <x:v>READY</x:v>
      </x:c>
      <x:c r="H120" s="17" t="str"/>
    </x:row>
    <x:row r="121" ht="24" customHeight="1">
      <x:c r="A121" s="2" t="str">
        <x:v>516</x:v>
      </x:c>
      <x:c r="B121" s="15" t="n">
        <x:v>438.832</x:v>
      </x:c>
      <x:c r="C121" s="15" t="n">
        <x:f>IF(AND(ISNUMBER(B121),ISNUMBER(D121)),ROUND(B121+D121,3),"")</x:f>
        <x:v>441.612</x:v>
      </x:c>
      <x:c r="D121" s="15" t="n">
        <x:v>2.78</x:v>
      </x:c>
      <x:c r="E121" s="16" t="n">
        <x:v>63.94</x:v>
      </x:c>
      <x:c r="F121" s="2" t="str">
        <x:v>Stable Recent Months</x:v>
      </x:c>
      <x:c r="G121" s="2" t="str">
        <x:v>READY</x:v>
      </x:c>
      <x:c r="H121" s="17" t="str"/>
    </x:row>
    <x:row r="122" ht="24" customHeight="1">
      <x:c r="A122" s="2" t="str">
        <x:v>517</x:v>
      </x:c>
      <x:c r="B122" s="15" t="n">
        <x:v>952.708</x:v>
      </x:c>
      <x:c r="C122" s="15" t="n">
        <x:f>IF(AND(ISNUMBER(B122),ISNUMBER(D122)),ROUND(B122+D122,3),"")</x:f>
        <x:v>955.056</x:v>
      </x:c>
      <x:c r="D122" s="15" t="n">
        <x:v>2.348</x:v>
      </x:c>
      <x:c r="E122" s="16" t="n">
        <x:v>54</x:v>
      </x:c>
      <x:c r="F122" s="2" t="str">
        <x:v>Linear Regression</x:v>
      </x:c>
      <x:c r="G122" s="2" t="str">
        <x:v>READY</x:v>
      </x:c>
      <x:c r="H122" s="17" t="str"/>
    </x:row>
    <x:row r="123" ht="24" customHeight="1">
      <x:c r="A123" s="2" t="str">
        <x:v>518</x:v>
      </x:c>
      <x:c r="B123" s="15" t="n">
        <x:v>922.264</x:v>
      </x:c>
      <x:c r="C123" s="15" t="n">
        <x:f>IF(AND(ISNUMBER(B123),ISNUMBER(D123)),ROUND(B123+D123,3),"")</x:f>
        <x:v>928.038</x:v>
      </x:c>
      <x:c r="D123" s="15" t="n">
        <x:v>5.774</x:v>
      </x:c>
      <x:c r="E123" s="16" t="n">
        <x:v>132.8</x:v>
      </x:c>
      <x:c r="F123" s="2" t="str">
        <x:v>Stable Recent Months</x:v>
      </x:c>
      <x:c r="G123" s="2" t="str">
        <x:v>READY</x:v>
      </x:c>
      <x:c r="H123" s="17" t="str"/>
    </x:row>
    <x:row r="124" ht="24" customHeight="1">
      <x:c r="A124" s="2" t="str">
        <x:v>519</x:v>
      </x:c>
      <x:c r="B124" s="15" t="n">
        <x:v>753.164</x:v>
      </x:c>
      <x:c r="C124" s="15" t="n">
        <x:f>IF(AND(ISNUMBER(B124),ISNUMBER(D124)),ROUND(B124+D124,3),"")</x:f>
        <x:v>756.313</x:v>
      </x:c>
      <x:c r="D124" s="15" t="n">
        <x:v>3.149</x:v>
      </x:c>
      <x:c r="E124" s="16" t="n">
        <x:v>72.43</x:v>
      </x:c>
      <x:c r="F124" s="2" t="str">
        <x:v>Linear Regression</x:v>
      </x:c>
      <x:c r="G124" s="2" t="str">
        <x:v>READY</x:v>
      </x:c>
      <x:c r="H124" s="17" t="str"/>
    </x:row>
    <x:row r="125" ht="24" customHeight="1">
      <x:c r="A125" s="2" t="str">
        <x:v>520</x:v>
      </x:c>
      <x:c r="B125" s="15" t="n">
        <x:v>944.767</x:v>
      </x:c>
      <x:c r="C125" s="15" t="n">
        <x:f>IF(AND(ISNUMBER(B125),ISNUMBER(D125)),ROUND(B125+D125,3),"")</x:f>
        <x:v>949.129</x:v>
      </x:c>
      <x:c r="D125" s="15" t="n">
        <x:v>4.362</x:v>
      </x:c>
      <x:c r="E125" s="16" t="n">
        <x:v>100.33</x:v>
      </x:c>
      <x:c r="F125" s="2" t="str">
        <x:v>Linear Regression</x:v>
      </x:c>
      <x:c r="G125" s="2" t="str">
        <x:v>READY</x:v>
      </x:c>
      <x:c r="H125" s="17" t="str"/>
    </x:row>
    <x:row r="126" ht="24" customHeight="1">
      <x:c r="A126" s="2" t="str">
        <x:v>521</x:v>
      </x:c>
      <x:c r="B126" s="15" t="n">
        <x:v>1173.703</x:v>
      </x:c>
      <x:c r="C126" s="15" t="str">
        <x:f>IF(AND(ISNUMBER(B126),ISNUMBER(D126)),ROUND(B126+D126,3),"")</x:f>
      </x:c>
      <x:c r="D126" s="15"/>
      <x:c r="E126" s="16"/>
      <x:c r="F126" s="2" t="str">
        <x:v>No forecast</x:v>
      </x:c>
      <x:c r="G126" s="2" t="str">
        <x:v>INSUFFICIENT_DATA</x:v>
      </x:c>
      <x:c r="H126" s="17" t="str">
        <x:v>At least 5 consecutive valid monthly readings are required.</x:v>
      </x:c>
    </x:row>
    <x:row r="127" ht="24" customHeight="1">
      <x:c r="A127" s="2" t="str">
        <x:v>522</x:v>
      </x:c>
      <x:c r="B127" s="15" t="n">
        <x:v>1337.123</x:v>
      </x:c>
      <x:c r="C127" s="15" t="n">
        <x:f>IF(AND(ISNUMBER(B127),ISNUMBER(D127)),ROUND(B127+D127,3),"")</x:f>
        <x:v>1340.941</x:v>
      </x:c>
      <x:c r="D127" s="15" t="n">
        <x:v>3.818</x:v>
      </x:c>
      <x:c r="E127" s="16" t="n">
        <x:v>87.81</x:v>
      </x:c>
      <x:c r="F127" s="2" t="str">
        <x:v>Stable Recent Months</x:v>
      </x:c>
      <x:c r="G127" s="2" t="str">
        <x:v>READY</x:v>
      </x:c>
      <x:c r="H127" s="17" t="str"/>
    </x:row>
    <x:row r="128" ht="24" customHeight="1">
      <x:c r="A128" s="2" t="str">
        <x:v>523</x:v>
      </x:c>
      <x:c r="B128" s="15" t="n">
        <x:v>1196.149</x:v>
      </x:c>
      <x:c r="C128" s="15" t="n">
        <x:f>IF(AND(ISNUMBER(B128),ISNUMBER(D128)),ROUND(B128+D128,3),"")</x:f>
        <x:v>1211.06</x:v>
      </x:c>
      <x:c r="D128" s="15" t="n">
        <x:v>14.911</x:v>
      </x:c>
      <x:c r="E128" s="16" t="n">
        <x:v>342.95</x:v>
      </x:c>
      <x:c r="F128" s="2" t="str">
        <x:v>Linear Regression</x:v>
      </x:c>
      <x:c r="G128" s="2" t="str">
        <x:v>READY</x:v>
      </x:c>
      <x:c r="H128" s="17" t="str"/>
    </x:row>
    <x:row r="129" ht="24" customHeight="1">
      <x:c r="A129" s="2" t="str">
        <x:v>524</x:v>
      </x:c>
      <x:c r="B129" s="15" t="n">
        <x:v>838.903</x:v>
      </x:c>
      <x:c r="C129" s="15" t="n">
        <x:f>IF(AND(ISNUMBER(B129),ISNUMBER(D129)),ROUND(B129+D129,3),"")</x:f>
        <x:v>846.324</x:v>
      </x:c>
      <x:c r="D129" s="15" t="n">
        <x:v>7.421</x:v>
      </x:c>
      <x:c r="E129" s="16" t="n">
        <x:v>170.68</x:v>
      </x:c>
      <x:c r="F129" s="2" t="str">
        <x:v>Linear Regression</x:v>
      </x:c>
      <x:c r="G129" s="2" t="str">
        <x:v>READY</x:v>
      </x:c>
      <x:c r="H129" s="17" t="str"/>
    </x:row>
    <x:row r="130" ht="24" customHeight="1">
      <x:c r="A130" s="2" t="str">
        <x:v>525</x:v>
      </x:c>
      <x:c r="B130" s="15" t="n">
        <x:v>952.55</x:v>
      </x:c>
      <x:c r="C130" s="15" t="n">
        <x:f>IF(AND(ISNUMBER(B130),ISNUMBER(D130)),ROUND(B130+D130,3),"")</x:f>
        <x:v>957.094</x:v>
      </x:c>
      <x:c r="D130" s="15" t="n">
        <x:v>4.544</x:v>
      </x:c>
      <x:c r="E130" s="16" t="n">
        <x:v>104.51</x:v>
      </x:c>
      <x:c r="F130" s="2" t="str">
        <x:v>Linear Regression</x:v>
      </x:c>
      <x:c r="G130" s="2" t="str">
        <x:v>READY</x:v>
      </x:c>
      <x:c r="H130" s="17" t="str"/>
    </x:row>
    <x:row r="131" ht="24" customHeight="1">
      <x:c r="A131" s="2" t="str">
        <x:v>526</x:v>
      </x:c>
      <x:c r="B131" s="15" t="n">
        <x:v>2327.512</x:v>
      </x:c>
      <x:c r="C131" s="15" t="n">
        <x:f>IF(AND(ISNUMBER(B131),ISNUMBER(D131)),ROUND(B131+D131,3),"")</x:f>
        <x:v>2338.582</x:v>
      </x:c>
      <x:c r="D131" s="15" t="n">
        <x:v>11.07</x:v>
      </x:c>
      <x:c r="E131" s="16" t="n">
        <x:v>254.61</x:v>
      </x:c>
      <x:c r="F131" s="2" t="str">
        <x:v>Linear Regression</x:v>
      </x:c>
      <x:c r="G131" s="2" t="str">
        <x:v>READY</x:v>
      </x:c>
      <x:c r="H131" s="17" t="str"/>
    </x:row>
    <x:row r="132" ht="24" customHeight="1">
      <x:c r="A132" s="2" t="str">
        <x:v>527</x:v>
      </x:c>
      <x:c r="B132" s="15" t="n">
        <x:v>409.591</x:v>
      </x:c>
      <x:c r="C132" s="15" t="n">
        <x:f>IF(AND(ISNUMBER(B132),ISNUMBER(D132)),ROUND(B132+D132,3),"")</x:f>
        <x:v>414.514</x:v>
      </x:c>
      <x:c r="D132" s="15" t="n">
        <x:v>4.923</x:v>
      </x:c>
      <x:c r="E132" s="16" t="n">
        <x:v>113.23</x:v>
      </x:c>
      <x:c r="F132" s="2" t="str">
        <x:v>Linear Regression</x:v>
      </x:c>
      <x:c r="G132" s="2" t="str">
        <x:v>READY</x:v>
      </x:c>
      <x:c r="H132" s="17" t="str"/>
    </x:row>
    <x:row r="133" ht="24" customHeight="1">
      <x:c r="A133" s="2" t="str">
        <x:v>528</x:v>
      </x:c>
      <x:c r="B133" s="15" t="n">
        <x:v>763.309</x:v>
      </x:c>
      <x:c r="C133" s="15" t="n">
        <x:f>IF(AND(ISNUMBER(B133),ISNUMBER(D133)),ROUND(B133+D133,3),"")</x:f>
        <x:v>771.652</x:v>
      </x:c>
      <x:c r="D133" s="15" t="n">
        <x:v>8.343</x:v>
      </x:c>
      <x:c r="E133" s="16" t="n">
        <x:v>191.89</x:v>
      </x:c>
      <x:c r="F133" s="2" t="str">
        <x:v>Stable Recent Months</x:v>
      </x:c>
      <x:c r="G133" s="2" t="str">
        <x:v>READY</x:v>
      </x:c>
      <x:c r="H133" s="17" t="str"/>
    </x:row>
    <x:row r="134" ht="24" customHeight="1">
      <x:c r="A134" s="2" t="str">
        <x:v>529</x:v>
      </x:c>
      <x:c r="B134" s="15" t="n">
        <x:v>885.836</x:v>
      </x:c>
      <x:c r="C134" s="15" t="n">
        <x:f>IF(AND(ISNUMBER(B134),ISNUMBER(D134)),ROUND(B134+D134,3),"")</x:f>
        <x:v>885.836</x:v>
      </x:c>
      <x:c r="D134" s="15" t="n">
        <x:v>0</x:v>
      </x:c>
      <x:c r="E134" s="16" t="n">
        <x:v>0</x:v>
      </x:c>
      <x:c r="F134" s="2" t="str">
        <x:v>Linear Regression</x:v>
      </x:c>
      <x:c r="G134" s="2" t="str">
        <x:v>READY</x:v>
      </x:c>
      <x:c r="H134" s="17" t="str"/>
    </x:row>
    <x:row r="135" ht="24" customHeight="1">
      <x:c r="A135" s="2" t="str">
        <x:v>530</x:v>
      </x:c>
      <x:c r="B135" s="15" t="n">
        <x:v>819.465</x:v>
      </x:c>
      <x:c r="C135" s="15" t="n">
        <x:f>IF(AND(ISNUMBER(B135),ISNUMBER(D135)),ROUND(B135+D135,3),"")</x:f>
        <x:v>819.465</x:v>
      </x:c>
      <x:c r="D135" s="15" t="n">
        <x:v>0</x:v>
      </x:c>
      <x:c r="E135" s="16" t="n">
        <x:v>0</x:v>
      </x:c>
      <x:c r="F135" s="2" t="str">
        <x:v>Linear Regression</x:v>
      </x:c>
      <x:c r="G135" s="2" t="str">
        <x:v>READY</x:v>
      </x:c>
      <x:c r="H135" s="17" t="str"/>
    </x:row>
    <x:row r="136" ht="24" customHeight="1">
      <x:c r="A136" s="2" t="str">
        <x:v>531</x:v>
      </x:c>
      <x:c r="B136" s="15" t="n">
        <x:v>1874.626</x:v>
      </x:c>
      <x:c r="C136" s="15" t="n">
        <x:f>IF(AND(ISNUMBER(B136),ISNUMBER(D136)),ROUND(B136+D136,3),"")</x:f>
        <x:v>1876.93</x:v>
      </x:c>
      <x:c r="D136" s="15" t="n">
        <x:v>2.304</x:v>
      </x:c>
      <x:c r="E136" s="16" t="n">
        <x:v>52.99</x:v>
      </x:c>
      <x:c r="F136" s="2" t="str">
        <x:v>Linear Regression</x:v>
      </x:c>
      <x:c r="G136" s="2" t="str">
        <x:v>READY</x:v>
      </x:c>
      <x:c r="H136" s="17" t="str"/>
    </x:row>
    <x:row r="137" ht="24" customHeight="1">
      <x:c r="A137" s="2" t="str">
        <x:v>532</x:v>
      </x:c>
      <x:c r="B137" s="15" t="n">
        <x:v>176.157</x:v>
      </x:c>
      <x:c r="C137" s="15" t="n">
        <x:f>IF(AND(ISNUMBER(B137),ISNUMBER(D137)),ROUND(B137+D137,3),"")</x:f>
        <x:v>176.157</x:v>
      </x:c>
      <x:c r="D137" s="15" t="n">
        <x:v>0</x:v>
      </x:c>
      <x:c r="E137" s="16" t="n">
        <x:v>0</x:v>
      </x:c>
      <x:c r="F137" s="2" t="str">
        <x:v>Linear Regression</x:v>
      </x:c>
      <x:c r="G137" s="2" t="str">
        <x:v>READY</x:v>
      </x:c>
      <x:c r="H137" s="17" t="str"/>
    </x:row>
    <x:row r="138" ht="24" customHeight="1">
      <x:c r="A138" s="2" t="str">
        <x:v>533</x:v>
      </x:c>
      <x:c r="B138" s="15" t="n">
        <x:v>247.084</x:v>
      </x:c>
      <x:c r="C138" s="15" t="n">
        <x:f>IF(AND(ISNUMBER(B138),ISNUMBER(D138)),ROUND(B138+D138,3),"")</x:f>
        <x:v>250.154</x:v>
      </x:c>
      <x:c r="D138" s="15" t="n">
        <x:v>3.07</x:v>
      </x:c>
      <x:c r="E138" s="16" t="n">
        <x:v>70.61</x:v>
      </x:c>
      <x:c r="F138" s="2" t="str">
        <x:v>Stable Recent Months</x:v>
      </x:c>
      <x:c r="G138" s="2" t="str">
        <x:v>READY</x:v>
      </x:c>
      <x:c r="H138" s="17" t="str"/>
    </x:row>
    <x:row r="139" ht="24" customHeight="1">
      <x:c r="A139" s="2" t="str">
        <x:v>534</x:v>
      </x:c>
      <x:c r="B139" s="15" t="n">
        <x:v>703.714</x:v>
      </x:c>
      <x:c r="C139" s="15" t="n">
        <x:f>IF(AND(ISNUMBER(B139),ISNUMBER(D139)),ROUND(B139+D139,3),"")</x:f>
        <x:v>707.308</x:v>
      </x:c>
      <x:c r="D139" s="15" t="n">
        <x:v>3.594</x:v>
      </x:c>
      <x:c r="E139" s="16" t="n">
        <x:v>82.66</x:v>
      </x:c>
      <x:c r="F139" s="2" t="str">
        <x:v>Linear Regression</x:v>
      </x:c>
      <x:c r="G139" s="2" t="str">
        <x:v>READY</x:v>
      </x:c>
      <x:c r="H139" s="17" t="str"/>
    </x:row>
    <x:row r="140" ht="24" customHeight="1">
      <x:c r="A140" s="2" t="str">
        <x:v>535</x:v>
      </x:c>
      <x:c r="B140" s="15" t="n">
        <x:v>343.967</x:v>
      </x:c>
      <x:c r="C140" s="15" t="n">
        <x:f>IF(AND(ISNUMBER(B140),ISNUMBER(D140)),ROUND(B140+D140,3),"")</x:f>
        <x:v>345.764</x:v>
      </x:c>
      <x:c r="D140" s="15" t="n">
        <x:v>1.797</x:v>
      </x:c>
      <x:c r="E140" s="16" t="n">
        <x:v>41.33</x:v>
      </x:c>
      <x:c r="F140" s="2" t="str">
        <x:v>Linear Regression</x:v>
      </x:c>
      <x:c r="G140" s="2" t="str">
        <x:v>READY</x:v>
      </x:c>
      <x:c r="H140" s="17" t="str"/>
    </x:row>
    <x:row r="141" ht="24" customHeight="1">
      <x:c r="A141" s="2" t="str">
        <x:v>536</x:v>
      </x:c>
      <x:c r="B141" s="15" t="n">
        <x:v>1083.45</x:v>
      </x:c>
      <x:c r="C141" s="15" t="n">
        <x:f>IF(AND(ISNUMBER(B141),ISNUMBER(D141)),ROUND(B141+D141,3),"")</x:f>
        <x:v>1090.712</x:v>
      </x:c>
      <x:c r="D141" s="15" t="n">
        <x:v>7.262</x:v>
      </x:c>
      <x:c r="E141" s="16" t="n">
        <x:v>167.03</x:v>
      </x:c>
      <x:c r="F141" s="2" t="str">
        <x:v>Linear Regression</x:v>
      </x:c>
      <x:c r="G141" s="2" t="str">
        <x:v>READY</x:v>
      </x:c>
      <x:c r="H141" s="17" t="str"/>
    </x:row>
    <x:row r="142" ht="24" customHeight="1">
      <x:c r="A142" s="2" t="str">
        <x:v>537</x:v>
      </x:c>
      <x:c r="B142" s="15" t="n">
        <x:v>438.295</x:v>
      </x:c>
      <x:c r="C142" s="15" t="n">
        <x:f>IF(AND(ISNUMBER(B142),ISNUMBER(D142)),ROUND(B142+D142,3),"")</x:f>
        <x:v>440.806</x:v>
      </x:c>
      <x:c r="D142" s="15" t="n">
        <x:v>2.511</x:v>
      </x:c>
      <x:c r="E142" s="16" t="n">
        <x:v>57.75</x:v>
      </x:c>
      <x:c r="F142" s="2" t="str">
        <x:v>Linear Regression</x:v>
      </x:c>
      <x:c r="G142" s="2" t="str">
        <x:v>READY</x:v>
      </x:c>
      <x:c r="H142" s="17" t="str"/>
    </x:row>
    <x:row r="143" ht="24" customHeight="1">
      <x:c r="A143" s="2" t="str">
        <x:v>538</x:v>
      </x:c>
      <x:c r="B143" s="15" t="n">
        <x:v>65.025</x:v>
      </x:c>
      <x:c r="C143" s="15" t="str">
        <x:f>IF(AND(ISNUMBER(B143),ISNUMBER(D143)),ROUND(B143+D143,3),"")</x:f>
      </x:c>
      <x:c r="D143" s="15"/>
      <x:c r="E143" s="16"/>
      <x:c r="F143" s="2" t="str">
        <x:v>No forecast</x:v>
      </x:c>
      <x:c r="G143" s="2" t="str">
        <x:v>INSUFFICIENT_DATA</x:v>
      </x:c>
      <x:c r="H143" s="17" t="str">
        <x:v>At least 5 consecutive valid monthly readings are required.</x:v>
      </x:c>
    </x:row>
    <x:row r="144" ht="24" customHeight="1">
      <x:c r="A144" s="2" t="str">
        <x:v>539</x:v>
      </x:c>
      <x:c r="B144" s="15" t="n">
        <x:v>292.142</x:v>
      </x:c>
      <x:c r="C144" s="15" t="n">
        <x:f>IF(AND(ISNUMBER(B144),ISNUMBER(D144)),ROUND(B144+D144,3),"")</x:f>
        <x:v>292.142</x:v>
      </x:c>
      <x:c r="D144" s="15" t="n">
        <x:v>0</x:v>
      </x:c>
      <x:c r="E144" s="16" t="n">
        <x:v>0</x:v>
      </x:c>
      <x:c r="F144" s="2" t="str">
        <x:v>Linear Regression</x:v>
      </x:c>
      <x:c r="G144" s="2" t="str">
        <x:v>READY</x:v>
      </x:c>
      <x:c r="H144" s="17" t="str"/>
    </x:row>
    <x:row r="145" ht="24" customHeight="1">
      <x:c r="A145" s="2" t="str">
        <x:v>540</x:v>
      </x:c>
      <x:c r="B145" s="15" t="n">
        <x:v>384.819</x:v>
      </x:c>
      <x:c r="C145" s="15" t="n">
        <x:f>IF(AND(ISNUMBER(B145),ISNUMBER(D145)),ROUND(B145+D145,3),"")</x:f>
        <x:v>390.439</x:v>
      </x:c>
      <x:c r="D145" s="15" t="n">
        <x:v>5.62</x:v>
      </x:c>
      <x:c r="E145" s="16" t="n">
        <x:v>129.26</x:v>
      </x:c>
      <x:c r="F145" s="2" t="str">
        <x:v>Stable Recent Months</x:v>
      </x:c>
      <x:c r="G145" s="2" t="str">
        <x:v>READY</x:v>
      </x:c>
      <x:c r="H145" s="17" t="str"/>
    </x:row>
    <x:row r="146" ht="24" customHeight="1">
      <x:c r="A146" s="2" t="str">
        <x:v>541</x:v>
      </x:c>
      <x:c r="B146" s="15" t="n">
        <x:v>1391.433</x:v>
      </x:c>
      <x:c r="C146" s="15" t="n">
        <x:f>IF(AND(ISNUMBER(B146),ISNUMBER(D146)),ROUND(B146+D146,3),"")</x:f>
        <x:v>1400.772</x:v>
      </x:c>
      <x:c r="D146" s="15" t="n">
        <x:v>9.339</x:v>
      </x:c>
      <x:c r="E146" s="16" t="n">
        <x:v>214.8</x:v>
      </x:c>
      <x:c r="F146" s="2" t="str">
        <x:v>Linear Regression</x:v>
      </x:c>
      <x:c r="G146" s="2" t="str">
        <x:v>READY</x:v>
      </x:c>
      <x:c r="H146" s="17" t="str"/>
    </x:row>
    <x:row r="147" ht="24" customHeight="1">
      <x:c r="A147" s="2" t="str">
        <x:v>542</x:v>
      </x:c>
      <x:c r="B147" s="15" t="n">
        <x:v>856.956</x:v>
      </x:c>
      <x:c r="C147" s="15" t="n">
        <x:f>IF(AND(ISNUMBER(B147),ISNUMBER(D147)),ROUND(B147+D147,3),"")</x:f>
        <x:v>856.973</x:v>
      </x:c>
      <x:c r="D147" s="15" t="n">
        <x:v>0.017</x:v>
      </x:c>
      <x:c r="E147" s="16" t="n">
        <x:v>0.39</x:v>
      </x:c>
      <x:c r="F147" s="2" t="str">
        <x:v>Stable Recent Months</x:v>
      </x:c>
      <x:c r="G147" s="2" t="str">
        <x:v>READY</x:v>
      </x:c>
      <x:c r="H147" s="17" t="str"/>
    </x:row>
    <x:row r="148" ht="24" customHeight="1">
      <x:c r="A148" s="2" t="str">
        <x:v>543</x:v>
      </x:c>
      <x:c r="B148" s="15" t="n">
        <x:v>123.659</x:v>
      </x:c>
      <x:c r="C148" s="15" t="n">
        <x:f>IF(AND(ISNUMBER(B148),ISNUMBER(D148)),ROUND(B148+D148,3),"")</x:f>
        <x:v>123.659</x:v>
      </x:c>
      <x:c r="D148" s="15" t="n">
        <x:v>0</x:v>
      </x:c>
      <x:c r="E148" s="16" t="n">
        <x:v>0</x:v>
      </x:c>
      <x:c r="F148" s="2" t="str">
        <x:v>Linear Regression</x:v>
      </x:c>
      <x:c r="G148" s="2" t="str">
        <x:v>READY</x:v>
      </x:c>
      <x:c r="H148" s="17" t="str"/>
    </x:row>
    <x:row r="149" ht="24" customHeight="1">
      <x:c r="A149" s="2"/>
      <x:c r="B149" s="2"/>
      <x:c r="C149" s="2"/>
      <x:c r="D149" s="2"/>
      <x:c r="E149" s="2"/>
      <x:c r="F149" s="2"/>
      <x:c r="G149" s="2"/>
      <x:c r="H149" s="2"/>
    </x:row>
    <x:row r="150" ht="24" customHeight="1">
      <x:c r="A150" s="19" t="str">
        <x:v>TOTAL</x:v>
      </x:c>
      <x:c r="B150" s="19"/>
      <x:c r="C150" s="19"/>
      <x:c r="D150" s="20" t="n">
        <x:f>SUM(D7:D148)</x:f>
        <x:v>798.4270000000002</x:v>
      </x:c>
      <x:c r="E150" s="21" t="n">
        <x:f>SUM(E7:E148)</x:f>
        <x:v>18363.82</x:v>
      </x:c>
      <x:c r="F150" s="19"/>
      <x:c r="G150" s="19"/>
      <x:c r="H150" s="19"/>
    </x:row>
  </x:sheetData>
  <x:conditionalFormatting sqref="A7:H148">
    <x:cfRule type="expression" dxfId="0" priority="1">
      <x:formula>$G7&lt;&gt;"READY"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8a95cc9d3d438e"/>
  </x:tableParts>
</x:worksheet>
</file>